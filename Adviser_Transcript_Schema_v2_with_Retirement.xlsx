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" sheetId="1" state="visible" r:id="rId1"/>
    <sheet xmlns:r="http://schemas.openxmlformats.org/officeDocument/2006/relationships" name="RetirementAssumptions" sheetId="2" state="visible" r:id="rId2"/>
    <sheet xmlns:r="http://schemas.openxmlformats.org/officeDocument/2006/relationships" name="LocationPlan" sheetId="3" state="visible" r:id="rId3"/>
    <sheet xmlns:r="http://schemas.openxmlformats.org/officeDocument/2006/relationships" name="RetirementPlan" sheetId="4" state="visible" r:id="rId4"/>
    <sheet xmlns:r="http://schemas.openxmlformats.org/officeDocument/2006/relationships" name="RetirementOutput" sheetId="5" state="visible" r:id="rId5"/>
    <sheet xmlns:r="http://schemas.openxmlformats.org/officeDocument/2006/relationships" name="Meetings" sheetId="6" state="visible" r:id="rId6"/>
    <sheet xmlns:r="http://schemas.openxmlformats.org/officeDocument/2006/relationships" name="Households" sheetId="7" state="visible" r:id="rId7"/>
    <sheet xmlns:r="http://schemas.openxmlformats.org/officeDocument/2006/relationships" name="Clients" sheetId="8" state="visible" r:id="rId8"/>
    <sheet xmlns:r="http://schemas.openxmlformats.org/officeDocument/2006/relationships" name="Goals" sheetId="9" state="visible" r:id="rId9"/>
    <sheet xmlns:r="http://schemas.openxmlformats.org/officeDocument/2006/relationships" name="Income" sheetId="10" state="visible" r:id="rId10"/>
    <sheet xmlns:r="http://schemas.openxmlformats.org/officeDocument/2006/relationships" name="Assets" sheetId="11" state="visible" r:id="rId11"/>
    <sheet xmlns:r="http://schemas.openxmlformats.org/officeDocument/2006/relationships" name="Holdings" sheetId="12" state="visible" r:id="rId12"/>
    <sheet xmlns:r="http://schemas.openxmlformats.org/officeDocument/2006/relationships" name="Pensions" sheetId="13" state="visible" r:id="rId13"/>
    <sheet xmlns:r="http://schemas.openxmlformats.org/officeDocument/2006/relationships" name="Properties" sheetId="14" state="visible" r:id="rId14"/>
    <sheet xmlns:r="http://schemas.openxmlformats.org/officeDocument/2006/relationships" name="Liabilities" sheetId="15" state="visible" r:id="rId15"/>
    <sheet xmlns:r="http://schemas.openxmlformats.org/officeDocument/2006/relationships" name="Insurance" sheetId="16" state="visible" r:id="rId16"/>
    <sheet xmlns:r="http://schemas.openxmlformats.org/officeDocument/2006/relationships" name="TaxResidency" sheetId="17" state="visible" r:id="rId17"/>
    <sheet xmlns:r="http://schemas.openxmlformats.org/officeDocument/2006/relationships" name="Recommendations" sheetId="18" state="visible" r:id="rId18"/>
    <sheet xmlns:r="http://schemas.openxmlformats.org/officeDocument/2006/relationships" name="Tasks" sheetId="19" state="visible" r:id="rId19"/>
    <sheet xmlns:r="http://schemas.openxmlformats.org/officeDocument/2006/relationships" name="TranscriptEvidence" sheetId="20" state="visible" r:id="rId20"/>
    <sheet xmlns:r="http://schemas.openxmlformats.org/officeDocument/2006/relationships" name="MissingData" sheetId="21" state="visible" r:id="rId21"/>
    <sheet xmlns:r="http://schemas.openxmlformats.org/officeDocument/2006/relationships" name="BalanceSheetSummary" sheetId="22" state="visible" r:id="rId22"/>
    <sheet xmlns:r="http://schemas.openxmlformats.org/officeDocument/2006/relationships" name="Retirement_Projection" sheetId="23" state="visible" r:id="rId23"/>
    <sheet xmlns:r="http://schemas.openxmlformats.org/officeDocument/2006/relationships" name="Residency_Scenarios" sheetId="24" state="visible" r:id="rId24"/>
    <sheet xmlns:r="http://schemas.openxmlformats.org/officeDocument/2006/relationships" name="Retirement_By_Scenario" sheetId="25" state="visible" r:id="rId25"/>
  </sheets>
  <definedNames>
    <definedName name="lstMeetingType">'Control'!$D$2:$D$6</definedName>
    <definedName name="lstChannel">'Control'!$E$2:$E$6</definedName>
    <definedName name="lstTimeHorizon">'Control'!$F$2:$F$4</definedName>
    <definedName name="lstAssetClass">'Control'!$G$2:$G$8</definedName>
    <definedName name="lstLiabilityType">'Control'!$H$2:$H$5</definedName>
    <definedName name="lstPolicyType">'Control'!$I$2:$I$7</definedName>
    <definedName name="lstRecommendationStatus">'Control'!$J$2:$J$6</definedName>
    <definedName name="lstTaskStatus">'Control'!$K$2:$K$7</definedName>
    <definedName name="lstDataQuality">'Control'!$L$2:$L$4</definedName>
    <definedName name="lstYesNo">'Control'!$M$2:$M$3</definedName>
    <definedName name="VAL_DATE">'RetirementAssumptions'!$B$2</definedName>
    <definedName name="INFLATION">'RetirementAssumptions'!$B$3</definedName>
    <definedName name="GROWTH">'RetirementAssumptions'!$B$4</definedName>
    <definedName name="SWR">'RetirementAssumptions'!$B$5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tbl_Meetings" displayName="tbl_Meetings" ref="A1:M2" headerRowCount="1">
  <autoFilter ref="A1:M2"/>
  <tableColumns count="13">
    <tableColumn id="1" name="MeetingID"/>
    <tableColumn id="2" name="MeetingDateTime"/>
    <tableColumn id="3" name="Adviser"/>
    <tableColumn id="4" name="MeetingType"/>
    <tableColumn id="5" name="Channel"/>
    <tableColumn id="6" name="RecordingLink"/>
    <tableColumn id="7" name="TranscriptFileName"/>
    <tableColumn id="8" name="Participants"/>
    <tableColumn id="9" name="HouseholdID"/>
    <tableColumn id="10" name="PrimaryClientID"/>
    <tableColumn id="11" name="SecondaryClientID"/>
    <tableColumn id="12" name="MeetingOutcomeSummary"/>
    <tableColumn id="13" name="NextMeetingProposed"/>
  </tableColumns>
  <tableStyleInfo name="TableStyleMedium9" showRowStripes="1"/>
</table>
</file>

<file path=xl/tables/table2.xml><?xml version="1.0" encoding="utf-8"?>
<table xmlns="http://schemas.openxmlformats.org/spreadsheetml/2006/main" id="2" name="tbl_Households" displayName="tbl_Households" ref="A1:E2" headerRowCount="1">
  <autoFilter ref="A1:E2"/>
  <tableColumns count="5">
    <tableColumn id="1" name="HouseholdID"/>
    <tableColumn id="2" name="HouseholdName"/>
    <tableColumn id="3" name="CountryOfResidence"/>
    <tableColumn id="4" name="TaxResidencySummary"/>
    <tableColumn id="5" name="Notes"/>
  </tableColumns>
  <tableStyleInfo name="TableStyleMedium9" showRowStripes="1"/>
</table>
</file>

<file path=xl/tables/table3.xml><?xml version="1.0" encoding="utf-8"?>
<table xmlns="http://schemas.openxmlformats.org/spreadsheetml/2006/main" id="3" name="tbl_Clients" displayName="tbl_Clients" ref="A1:X2" headerRowCount="1">
  <autoFilter ref="A1:X2"/>
  <tableColumns count="24">
    <tableColumn id="1" name="ClientID"/>
    <tableColumn id="2" name="HouseholdID"/>
    <tableColumn id="3" name="Title"/>
    <tableColumn id="4" name="FirstName"/>
    <tableColumn id="5" name="LastName"/>
    <tableColumn id="6" name="DOB"/>
    <tableColumn id="7" name="Nationality"/>
    <tableColumn id="8" name="ResidencyCountry"/>
    <tableColumn id="9" name="Domicile"/>
    <tableColumn id="10" name="MaritalStatus"/>
    <tableColumn id="11" name="DependantsCount"/>
    <tableColumn id="12" name="EmploymentStatus"/>
    <tableColumn id="13" name="EmployerName"/>
    <tableColumn id="14" name="RoleTitle"/>
    <tableColumn id="15" name="IncomeGrossAnnual"/>
    <tableColumn id="16" name="IncomeNetAnnual"/>
    <tableColumn id="17" name="Currency"/>
    <tableColumn id="18" name="ContactEmail"/>
    <tableColumn id="19" name="Phone"/>
    <tableColumn id="20" name="PreferredContactMethod"/>
    <tableColumn id="21" name="RiskProfileStated"/>
    <tableColumn id="22" name="CapacityForLossIndicator"/>
    <tableColumn id="23" name="ConfirmationStatus"/>
    <tableColumn id="24" name="Notes"/>
  </tableColumns>
  <tableStyleInfo name="TableStyleMedium9" showRowStripes="1"/>
</table>
</file>

<file path=xl/tables/table4.xml><?xml version="1.0" encoding="utf-8"?>
<table xmlns="http://schemas.openxmlformats.org/spreadsheetml/2006/main" id="4" name="tbl_Goals" displayName="tbl_Goals" ref="A1:L2" headerRowCount="1">
  <autoFilter ref="A1:L2"/>
  <tableColumns count="12">
    <tableColumn id="1" name="GoalID"/>
    <tableColumn id="2" name="HouseholdID"/>
    <tableColumn id="3" name="ClientID"/>
    <tableColumn id="4" name="GoalCategory"/>
    <tableColumn id="5" name="GoalDescription"/>
    <tableColumn id="6" name="TimeHorizon"/>
    <tableColumn id="7" name="TargetDate"/>
    <tableColumn id="8" name="TargetAmount"/>
    <tableColumn id="9" name="Currency"/>
    <tableColumn id="10" name="Priority(1-5)"/>
    <tableColumn id="11" name="Constraints"/>
    <tableColumn id="12" name="SuccessDefinition"/>
  </tableColumns>
  <tableStyleInfo name="TableStyleMedium9" showRowStripes="1"/>
</table>
</file>

<file path=xl/tables/table5.xml><?xml version="1.0" encoding="utf-8"?>
<table xmlns="http://schemas.openxmlformats.org/spreadsheetml/2006/main" id="5" name="tbl_Income" displayName="tbl_Income" ref="A1:K2" headerRowCount="1">
  <autoFilter ref="A1:K2"/>
  <tableColumns count="11">
    <tableColumn id="1" name="IncomeID"/>
    <tableColumn id="2" name="ClientID"/>
    <tableColumn id="3" name="SourceType"/>
    <tableColumn id="4" name="Amount"/>
    <tableColumn id="5" name="Frequency"/>
    <tableColumn id="6" name="Currency"/>
    <tableColumn id="7" name="IsGuaranteed"/>
    <tableColumn id="8" name="StartDate"/>
    <tableColumn id="9" name="EndDate"/>
    <tableColumn id="10" name="TaxedWhere"/>
    <tableColumn id="11" name="Notes"/>
  </tableColumns>
  <tableStyleInfo name="TableStyleMedium9" showRowStripes="1"/>
</table>
</file>

<file path=xl/tables/table6.xml><?xml version="1.0" encoding="utf-8"?>
<table xmlns="http://schemas.openxmlformats.org/spreadsheetml/2006/main" id="6" name="tbl_Assets" displayName="tbl_Assets" ref="A1:Q2" headerRowCount="1">
  <autoFilter ref="A1:Q2"/>
  <tableColumns count="17">
    <tableColumn id="1" name="AssetID"/>
    <tableColumn id="2" name="ClientID"/>
    <tableColumn id="3" name="AssetClass"/>
    <tableColumn id="4" name="Provider"/>
    <tableColumn id="5" name="Platform"/>
    <tableColumn id="6" name="AccountName"/>
    <tableColumn id="7" name="AccountNumberLast4"/>
    <tableColumn id="8" name="CountryHeld"/>
    <tableColumn id="9" name="Currency"/>
    <tableColumn id="10" name="CurrentValue"/>
    <tableColumn id="11" name="CostBasis"/>
    <tableColumn id="12" name="ContributionType"/>
    <tableColumn id="13" name="RegularContributionAmount"/>
    <tableColumn id="14" name="RegularContributionFrequency"/>
    <tableColumn id="15" name="OwnershipSplit"/>
    <tableColumn id="16" name="Notes"/>
    <tableColumn id="17" name="DataQuality"/>
  </tableColumns>
  <tableStyleInfo name="TableStyleMedium9" showRowStripes="1"/>
</table>
</file>

<file path=xl/tables/table7.xml><?xml version="1.0" encoding="utf-8"?>
<table xmlns="http://schemas.openxmlformats.org/spreadsheetml/2006/main" id="7" name="tbl_Holdings" displayName="tbl_Holdings" ref="A1:Q2" headerRowCount="1">
  <autoFilter ref="A1:Q2"/>
  <tableColumns count="17">
    <tableColumn id="1" name="HoldingID"/>
    <tableColumn id="2" name="AssetID"/>
    <tableColumn id="3" name="ISIN"/>
    <tableColumn id="4" name="Ticker"/>
    <tableColumn id="5" name="FundName"/>
    <tableColumn id="6" name="AssetType"/>
    <tableColumn id="7" name="Region"/>
    <tableColumn id="8" name="Sector"/>
    <tableColumn id="9" name="RiskCategory"/>
    <tableColumn id="10" name="Units"/>
    <tableColumn id="11" name="Price"/>
    <tableColumn id="12" name="MarketValue"/>
    <tableColumn id="13" name="OCF"/>
    <tableColumn id="14" name="PlatformFee"/>
    <tableColumn id="15" name="AdviserFee"/>
    <tableColumn id="16" name="TotalEstimatedFee"/>
    <tableColumn id="17" name="Notes"/>
  </tableColumns>
  <tableStyleInfo name="TableStyleMedium9" showRowStripes="1"/>
</table>
</file>

<file path=xl/tables/table8.xml><?xml version="1.0" encoding="utf-8"?>
<table xmlns="http://schemas.openxmlformats.org/spreadsheetml/2006/main" id="8" name="tbl_Pensions" displayName="tbl_Pensions" ref="A1:P2" headerRowCount="1">
  <autoFilter ref="A1:P2"/>
  <tableColumns count="16">
    <tableColumn id="1" name="PensionID"/>
    <tableColumn id="2" name="AssetID"/>
    <tableColumn id="3" name="SchemeType"/>
    <tableColumn id="4" name="SchemeName"/>
    <tableColumn id="5" name="Provider"/>
    <tableColumn id="6" name="StartDate"/>
    <tableColumn id="7" name="NormalRetirementAge"/>
    <tableColumn id="8" name="CurrentValue"/>
    <tableColumn id="9" name="ContributionAmount"/>
    <tableColumn id="10" name="ContributionFrequency"/>
    <tableColumn id="11" name="EmployerContrib"/>
    <tableColumn id="12" name="ProtectedAgesOrProtections"/>
    <tableColumn id="13" name="LTA_LSA_Notes"/>
    <tableColumn id="14" name="BeneficiaryNominationStatus"/>
    <tableColumn id="15" name="KnownTaxIssues"/>
    <tableColumn id="16" name="Notes"/>
  </tableColumns>
  <tableStyleInfo name="TableStyleMedium9" showRowStripes="1"/>
</table>
</file>

<file path=xl/tables/table9.xml><?xml version="1.0" encoding="utf-8"?>
<table xmlns="http://schemas.openxmlformats.org/spreadsheetml/2006/main" id="9" name="tbl_Properties" displayName="tbl_Properties" ref="A1:N2" headerRowCount="1">
  <autoFilter ref="A1:N2"/>
  <tableColumns count="14">
    <tableColumn id="1" name="PropertyID"/>
    <tableColumn id="2" name="AssetID"/>
    <tableColumn id="3" name="Country"/>
    <tableColumn id="4" name="Address"/>
    <tableColumn id="5" name="PropertyType"/>
    <tableColumn id="6" name="Ownership"/>
    <tableColumn id="7" name="PurchaseDate"/>
    <tableColumn id="8" name="PurchasePrice"/>
    <tableColumn id="9" name="CurrentValue"/>
    <tableColumn id="10" name="MortgageLinkedLiabilityID"/>
    <tableColumn id="11" name="RentalIncomeGross"/>
    <tableColumn id="12" name="RentalExpenses"/>
    <tableColumn id="13" name="NetYield"/>
    <tableColumn id="14" name="Notes"/>
  </tableColumns>
  <tableStyleInfo name="TableStyleMedium9" showRowStripes="1"/>
</table>
</file>

<file path=xl/tables/table10.xml><?xml version="1.0" encoding="utf-8"?>
<table xmlns="http://schemas.openxmlformats.org/spreadsheetml/2006/main" id="10" name="tbl_Liabilities" displayName="tbl_Liabilities" ref="A1:M2" headerRowCount="1">
  <autoFilter ref="A1:M2"/>
  <tableColumns count="13">
    <tableColumn id="1" name="LiabilityID"/>
    <tableColumn id="2" name="ClientID"/>
    <tableColumn id="3" name="Type"/>
    <tableColumn id="4" name="Provider"/>
    <tableColumn id="5" name="Currency"/>
    <tableColumn id="6" name="Balance"/>
    <tableColumn id="7" name="InterestRate"/>
    <tableColumn id="8" name="RepaymentAmount"/>
    <tableColumn id="9" name="RepaymentFrequency"/>
    <tableColumn id="10" name="TermEndDate"/>
    <tableColumn id="11" name="IsFixedOrVariable"/>
    <tableColumn id="12" name="SecuredAgainstPropertyID"/>
    <tableColumn id="13" name="Notes"/>
  </tableColumns>
  <tableStyleInfo name="TableStyleMedium9" showRowStripes="1"/>
</table>
</file>

<file path=xl/tables/table11.xml><?xml version="1.0" encoding="utf-8"?>
<table xmlns="http://schemas.openxmlformats.org/spreadsheetml/2006/main" id="11" name="tbl_Insurance" displayName="tbl_Insurance" ref="A1:M2" headerRowCount="1">
  <autoFilter ref="A1:M2"/>
  <tableColumns count="13">
    <tableColumn id="1" name="PolicyID"/>
    <tableColumn id="2" name="ClientID"/>
    <tableColumn id="3" name="PolicyType"/>
    <tableColumn id="4" name="Provider"/>
    <tableColumn id="5" name="CoverAmount"/>
    <tableColumn id="6" name="Premium"/>
    <tableColumn id="7" name="Frequency"/>
    <tableColumn id="8" name="Currency"/>
    <tableColumn id="9" name="StartDate"/>
    <tableColumn id="10" name="ReviewDate"/>
    <tableColumn id="11" name="Beneficiaries"/>
    <tableColumn id="12" name="LinkedGoalID"/>
    <tableColumn id="13" name="Notes"/>
  </tableColumns>
  <tableStyleInfo name="TableStyleMedium9" showRowStripes="1"/>
</table>
</file>

<file path=xl/tables/table12.xml><?xml version="1.0" encoding="utf-8"?>
<table xmlns="http://schemas.openxmlformats.org/spreadsheetml/2006/main" id="12" name="tbl_TaxResidency" displayName="tbl_TaxResidency" ref="A1:J2" headerRowCount="1">
  <autoFilter ref="A1:J2"/>
  <tableColumns count="10">
    <tableColumn id="1" name="TaxRecordID"/>
    <tableColumn id="2" name="ClientID"/>
    <tableColumn id="3" name="Country"/>
    <tableColumn id="4" name="TaxResidencyStatus"/>
    <tableColumn id="5" name="DateFrom"/>
    <tableColumn id="6" name="DateTo"/>
    <tableColumn id="7" name="RelevantRulesDiscussed"/>
    <tableColumn id="8" name="PlanningOpportunities"/>
    <tableColumn id="9" name="RisksOrRedFlags"/>
    <tableColumn id="10" name="Notes"/>
  </tableColumns>
  <tableStyleInfo name="TableStyleMedium9" showRowStripes="1"/>
</table>
</file>

<file path=xl/tables/table13.xml><?xml version="1.0" encoding="utf-8"?>
<table xmlns="http://schemas.openxmlformats.org/spreadsheetml/2006/main" id="13" name="tbl_Recommendations" displayName="tbl_Recommendations" ref="A1:N2" headerRowCount="1">
  <autoFilter ref="A1:N2"/>
  <tableColumns count="14">
    <tableColumn id="1" name="RecID"/>
    <tableColumn id="2" name="MeetingID"/>
    <tableColumn id="3" name="ClientID"/>
    <tableColumn id="4" name="HouseholdID"/>
    <tableColumn id="5" name="RecommendationType"/>
    <tableColumn id="6" name="ProductOrProvider"/>
    <tableColumn id="7" name="Rationale"/>
    <tableColumn id="8" name="Benefits"/>
    <tableColumn id="9" name="Drawbacks"/>
    <tableColumn id="10" name="FeesSummary"/>
    <tableColumn id="11" name="Status"/>
    <tableColumn id="12" name="TargetDate"/>
    <tableColumn id="13" name="Dependencies"/>
    <tableColumn id="14" name="Notes"/>
  </tableColumns>
  <tableStyleInfo name="TableStyleMedium9" showRowStripes="1"/>
</table>
</file>

<file path=xl/tables/table14.xml><?xml version="1.0" encoding="utf-8"?>
<table xmlns="http://schemas.openxmlformats.org/spreadsheetml/2006/main" id="14" name="tbl_Tasks" displayName="tbl_Tasks" ref="A1:K2" headerRowCount="1">
  <autoFilter ref="A1:K2"/>
  <tableColumns count="11">
    <tableColumn id="1" name="TaskID"/>
    <tableColumn id="2" name="MeetingID"/>
    <tableColumn id="3" name="Owner"/>
    <tableColumn id="4" name="TaskCategory"/>
    <tableColumn id="5" name="TaskDescription"/>
    <tableColumn id="6" name="DueDate"/>
    <tableColumn id="7" name="Status"/>
    <tableColumn id="8" name="BlockingIssue"/>
    <tableColumn id="9" name="RelatedEntityType"/>
    <tableColumn id="10" name="RelatedEntityID"/>
    <tableColumn id="11" name="Notes"/>
  </tableColumns>
  <tableStyleInfo name="TableStyleMedium9" showRowStripes="1"/>
</table>
</file>

<file path=xl/tables/table15.xml><?xml version="1.0" encoding="utf-8"?>
<table xmlns="http://schemas.openxmlformats.org/spreadsheetml/2006/main" id="15" name="tbl_TranscriptEvidence" displayName="tbl_TranscriptEvidence" ref="A1:K2" headerRowCount="1">
  <autoFilter ref="A1:K2"/>
  <tableColumns count="11">
    <tableColumn id="1" name="EvidenceID"/>
    <tableColumn id="2" name="MeetingID"/>
    <tableColumn id="3" name="Speaker"/>
    <tableColumn id="4" name="TimestampApprox"/>
    <tableColumn id="5" name="Snippet"/>
    <tableColumn id="6" name="ExtractedFieldName"/>
    <tableColumn id="7" name="ExtractedValue"/>
    <tableColumn id="8" name="TargetTable"/>
    <tableColumn id="9" name="TargetRecordID"/>
    <tableColumn id="10" name="Confidence(0-1)"/>
    <tableColumn id="11" name="NeedsConfirmation(Yes/No)"/>
  </tableColumns>
  <tableStyleInfo name="TableStyleMedium9" showRowStripes="1"/>
</table>
</file>

<file path=xl/tables/table16.xml><?xml version="1.0" encoding="utf-8"?>
<table xmlns="http://schemas.openxmlformats.org/spreadsheetml/2006/main" id="16" name="tbl_MissingData" displayName="tbl_MissingData" ref="A1:I2" headerRowCount="1">
  <autoFilter ref="A1:I2"/>
  <tableColumns count="9">
    <tableColumn id="1" name="GapID"/>
    <tableColumn id="2" name="MeetingID"/>
    <tableColumn id="3" name="ClientID"/>
    <tableColumn id="4" name="MissingField"/>
    <tableColumn id="5" name="WhyNeeded"/>
    <tableColumn id="6" name="Priority"/>
    <tableColumn id="7" name="QuestionToAskClient"/>
    <tableColumn id="8" name="Status"/>
    <tableColumn id="9" name="Notes"/>
  </tableColumns>
  <tableStyleInfo name="TableStyleMedium9" showRowStripes="1"/>
</table>
</file>

<file path=xl/tables/table17.xml><?xml version="1.0" encoding="utf-8"?>
<table xmlns="http://schemas.openxmlformats.org/spreadsheetml/2006/main" id="17" name="tbl_BalanceSheetSummary" displayName="tbl_BalanceSheetSummary" ref="A1:E2" headerRowCount="1">
  <autoFilter ref="A1:E2"/>
  <tableColumns count="5">
    <tableColumn id="1" name="ClientID"/>
    <tableColumn id="2" name="TotalAssets"/>
    <tableColumn id="3" name="TotalLiabilities"/>
    <tableColumn id="4" name="NetWorth"/>
    <tableColumn id="5" name="LiquidAssets"/>
  </tableColumns>
  <tableStyleInfo name="TableStyleMedium9" showRowStripes="1"/>
</table>
</file>

<file path=xl/tables/table18.xml><?xml version="1.0" encoding="utf-8"?>
<table xmlns="http://schemas.openxmlformats.org/spreadsheetml/2006/main" id="18" name="RetirementProjection" displayName="RetirementProjection" ref="A1:O2" headerRowCount="1">
  <autoFilter ref="A1:O2"/>
  <tableColumns count="15">
    <tableColumn id="1" name="HouseholdID"/>
    <tableColumn id="2" name="ClientID"/>
    <tableColumn id="3" name="CurrentAge"/>
    <tableColumn id="4" name="TargetRetirementAge"/>
    <tableColumn id="5" name="LifeExpectancy"/>
    <tableColumn id="6" name="CurrentInvestableAssets"/>
    <tableColumn id="7" name="AnnualContribution"/>
    <tableColumn id="8" name="RealReturnAssumption"/>
    <tableColumn id="9" name="RetirementIncomeTarget"/>
    <tableColumn id="10" name="InflationAssumption"/>
    <tableColumn id="11" name="ProjectedPotAtRetirement"/>
    <tableColumn id="12" name="SustainableIncome_4pct"/>
    <tableColumn id="13" name="FundingGapOrSurplus"/>
    <tableColumn id="14" name="PrimaryRetirementCountry"/>
    <tableColumn id="15" name="Confidenc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ResidencyScenarios" displayName="ResidencyScenarios" ref="A1:K2" headerRowCount="1">
  <autoFilter ref="A1:K2"/>
  <tableColumns count="11">
    <tableColumn id="1" name="ScenarioID"/>
    <tableColumn id="2" name="HouseholdID"/>
    <tableColumn id="3" name="Country"/>
    <tableColumn id="4" name="StartAge"/>
    <tableColumn id="5" name="EndAge"/>
    <tableColumn id="6" name="Probability"/>
    <tableColumn id="7" name="TaxRegimeNotes"/>
    <tableColumn id="8" name="HealthcareAssumption"/>
    <tableColumn id="9" name="CostOfLivingIndex"/>
    <tableColumn id="10" name="NetIncomeMultiplier"/>
    <tableColumn id="11" name="Notes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RetirementByScenario" displayName="RetirementByScenario" ref="A1:F2" headerRowCount="1">
  <autoFilter ref="A1:F2"/>
  <tableColumns count="6">
    <tableColumn id="1" name="ScenarioID"/>
    <tableColumn id="2" name="HouseholdID"/>
    <tableColumn id="3" name="ProjectedPotAtRetirement"/>
    <tableColumn id="4" name="AfterTaxIncomeEstimate"/>
    <tableColumn id="5" name="RealIncomeAdj"/>
    <tableColumn id="6" name="ResultCom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Adviser Transcript Schema (v1)</t>
        </is>
      </c>
      <c r="D1" s="2" t="inlineStr">
        <is>
          <t>MeetingType</t>
        </is>
      </c>
      <c r="E1" s="2" t="inlineStr">
        <is>
          <t>Channel</t>
        </is>
      </c>
      <c r="F1" s="2" t="inlineStr">
        <is>
          <t>TimeHorizon</t>
        </is>
      </c>
      <c r="G1" s="2" t="inlineStr">
        <is>
          <t>AssetClass</t>
        </is>
      </c>
      <c r="H1" s="2" t="inlineStr">
        <is>
          <t>LiabilityType</t>
        </is>
      </c>
      <c r="I1" s="2" t="inlineStr">
        <is>
          <t>PolicyType</t>
        </is>
      </c>
      <c r="J1" s="2" t="inlineStr">
        <is>
          <t>RecommendationStatus</t>
        </is>
      </c>
      <c r="K1" s="2" t="inlineStr">
        <is>
          <t>TaskStatus</t>
        </is>
      </c>
      <c r="L1" s="2" t="inlineStr">
        <is>
          <t>DataQuality</t>
        </is>
      </c>
      <c r="M1" s="2" t="inlineStr">
        <is>
          <t>YesNo</t>
        </is>
      </c>
    </row>
    <row r="2">
      <c r="D2" t="inlineStr">
        <is>
          <t>Intro</t>
        </is>
      </c>
      <c r="E2" t="inlineStr">
        <is>
          <t>Zoom</t>
        </is>
      </c>
      <c r="F2" t="inlineStr">
        <is>
          <t>Short</t>
        </is>
      </c>
      <c r="G2" t="inlineStr">
        <is>
          <t>Cash</t>
        </is>
      </c>
      <c r="H2" t="inlineStr">
        <is>
          <t>Mortgage</t>
        </is>
      </c>
      <c r="I2" t="inlineStr">
        <is>
          <t>Term life</t>
        </is>
      </c>
      <c r="J2" t="inlineStr">
        <is>
          <t>Proposed</t>
        </is>
      </c>
      <c r="K2" t="inlineStr">
        <is>
          <t>Open</t>
        </is>
      </c>
      <c r="L2" t="inlineStr">
        <is>
          <t>Confirmed</t>
        </is>
      </c>
      <c r="M2" t="inlineStr">
        <is>
          <t>Yes</t>
        </is>
      </c>
    </row>
    <row r="3">
      <c r="A3" t="inlineStr">
        <is>
          <t>SchemaVersion</t>
        </is>
      </c>
      <c r="B3" t="inlineStr">
        <is>
          <t>1.0</t>
        </is>
      </c>
      <c r="D3" t="inlineStr">
        <is>
          <t>Review</t>
        </is>
      </c>
      <c r="E3" t="inlineStr">
        <is>
          <t>Phone</t>
        </is>
      </c>
      <c r="F3" t="inlineStr">
        <is>
          <t>Medium</t>
        </is>
      </c>
      <c r="G3" t="inlineStr">
        <is>
          <t>Investment account</t>
        </is>
      </c>
      <c r="H3" t="inlineStr">
        <is>
          <t>Loan</t>
        </is>
      </c>
      <c r="I3" t="inlineStr">
        <is>
          <t>Whole life</t>
        </is>
      </c>
      <c r="J3" t="inlineStr">
        <is>
          <t>Agreed</t>
        </is>
      </c>
      <c r="K3" t="inlineStr">
        <is>
          <t>In progress</t>
        </is>
      </c>
      <c r="L3" t="inlineStr">
        <is>
          <t>Estimated</t>
        </is>
      </c>
      <c r="M3" t="inlineStr">
        <is>
          <t>No</t>
        </is>
      </c>
    </row>
    <row r="4">
      <c r="A4" t="inlineStr">
        <is>
          <t>CreatedUTC</t>
        </is>
      </c>
      <c r="B4" t="inlineStr">
        <is>
          <t>2026-01-29 14:06:09</t>
        </is>
      </c>
      <c r="D4" t="inlineStr">
        <is>
          <t>Planning</t>
        </is>
      </c>
      <c r="E4" t="inlineStr">
        <is>
          <t>In person</t>
        </is>
      </c>
      <c r="F4" t="inlineStr">
        <is>
          <t>Long</t>
        </is>
      </c>
      <c r="G4" t="inlineStr">
        <is>
          <t>Pension</t>
        </is>
      </c>
      <c r="H4" t="inlineStr">
        <is>
          <t>Credit card</t>
        </is>
      </c>
      <c r="I4" t="inlineStr">
        <is>
          <t>Income protection</t>
        </is>
      </c>
      <c r="J4" t="inlineStr">
        <is>
          <t>Implementing</t>
        </is>
      </c>
      <c r="K4" t="inlineStr">
        <is>
          <t>Waiting on client</t>
        </is>
      </c>
      <c r="L4" t="inlineStr">
        <is>
          <t>Missing</t>
        </is>
      </c>
    </row>
    <row r="5">
      <c r="D5" t="inlineStr">
        <is>
          <t>Implementation</t>
        </is>
      </c>
      <c r="E5" t="inlineStr">
        <is>
          <t>Teams</t>
        </is>
      </c>
      <c r="G5" t="inlineStr">
        <is>
          <t>Property</t>
        </is>
      </c>
      <c r="H5" t="inlineStr">
        <is>
          <t>Other</t>
        </is>
      </c>
      <c r="I5" t="inlineStr">
        <is>
          <t>Critical illness</t>
        </is>
      </c>
      <c r="J5" t="inlineStr">
        <is>
          <t>Completed</t>
        </is>
      </c>
      <c r="K5" t="inlineStr">
        <is>
          <t>Waiting on provider</t>
        </is>
      </c>
    </row>
    <row r="6">
      <c r="A6" s="3" t="inlineStr">
        <is>
          <t>Reference Lists (for data validation)</t>
        </is>
      </c>
      <c r="D6" t="inlineStr">
        <is>
          <t>Admin</t>
        </is>
      </c>
      <c r="E6" t="inlineStr">
        <is>
          <t>WhatsApp</t>
        </is>
      </c>
      <c r="G6" t="inlineStr">
        <is>
          <t>Business interest</t>
        </is>
      </c>
      <c r="I6" t="inlineStr">
        <is>
          <t>Medical</t>
        </is>
      </c>
      <c r="J6" t="inlineStr">
        <is>
          <t>Rejected</t>
        </is>
      </c>
      <c r="K6" t="inlineStr">
        <is>
          <t>Completed</t>
        </is>
      </c>
    </row>
    <row r="7">
      <c r="G7" t="inlineStr">
        <is>
          <t>Crypto</t>
        </is>
      </c>
      <c r="I7" t="inlineStr">
        <is>
          <t>Other</t>
        </is>
      </c>
      <c r="K7" t="inlineStr">
        <is>
          <t>Cancelled</t>
        </is>
      </c>
    </row>
    <row r="8">
      <c r="G8" t="inlineStr">
        <is>
          <t>Other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ValuationDate</t>
        </is>
      </c>
      <c r="B2" s="5" t="n">
        <v>46051</v>
      </c>
      <c r="C2" t="inlineStr">
        <is>
          <t>Date used for age and projection calculations</t>
        </is>
      </c>
    </row>
    <row r="3">
      <c r="A3" t="inlineStr">
        <is>
          <t>InflationAssumption</t>
        </is>
      </c>
      <c r="B3" t="n">
        <v>0.025</v>
      </c>
      <c r="C3" t="inlineStr">
        <is>
          <t>Annual inflation assumption</t>
        </is>
      </c>
    </row>
    <row r="4">
      <c r="A4" t="inlineStr">
        <is>
          <t>NominalGrowthAssumption</t>
        </is>
      </c>
      <c r="B4" t="n">
        <v>0.05</v>
      </c>
      <c r="C4" t="inlineStr">
        <is>
          <t>Annual nominal growth assumption for invested assets</t>
        </is>
      </c>
    </row>
    <row r="5">
      <c r="A5" t="inlineStr">
        <is>
          <t>WithdrawalRate</t>
        </is>
      </c>
      <c r="B5" t="n">
        <v>0.04</v>
      </c>
      <c r="C5" t="inlineStr">
        <is>
          <t>Safe withdrawal rate used to estimate required retirement pot</t>
        </is>
      </c>
    </row>
    <row r="6">
      <c r="A6" t="inlineStr">
        <is>
          <t>DefaultCurrency</t>
        </is>
      </c>
      <c r="B6" t="inlineStr">
        <is>
          <t>GBP</t>
        </is>
      </c>
      <c r="C6" t="inlineStr">
        <is>
          <t>Reporting currency for retirement planning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>
      <c r="A1" t="inlineStr">
        <is>
          <t>LocationID</t>
        </is>
      </c>
      <c r="B1" t="inlineStr">
        <is>
          <t>HouseholdID</t>
        </is>
      </c>
      <c r="C1" t="inlineStr">
        <is>
          <t>ClientID</t>
        </is>
      </c>
      <c r="D1" t="inlineStr">
        <is>
          <t>Country</t>
        </is>
      </c>
      <c r="E1" t="inlineStr">
        <is>
          <t>Probability</t>
        </is>
      </c>
      <c r="F1" t="inlineStr">
        <is>
          <t>Notes</t>
        </is>
      </c>
    </row>
  </sheetData>
  <dataValidations count="2">
    <dataValidation sqref="E2:E1000" showDropDown="0" showInputMessage="0" showErrorMessage="0" allowBlank="1" type="decimal" operator="between">
      <formula1>0</formula1>
      <formula2>1</formula2>
    </dataValidation>
    <dataValidation sqref="D2:D1000 N2:N1000" showDropDown="0" showInputMessage="0" showErrorMessage="0" allowBlank="1" type="list">
      <formula1>"UK,UAE,Portugal,Spain,Greece,France,Australia,USA,Other"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26" customWidth="1" min="4" max="4"/>
    <col width="28" customWidth="1" min="5" max="5"/>
    <col width="14" customWidth="1" min="6" max="6"/>
    <col width="31" customWidth="1" min="7" max="7"/>
    <col width="32" customWidth="1" min="8" max="8"/>
    <col width="31" customWidth="1" min="9" max="9"/>
    <col width="24" customWidth="1" min="10" max="10"/>
    <col width="30" customWidth="1" min="11" max="11"/>
    <col width="23" customWidth="1" min="12" max="12"/>
    <col width="28" customWidth="1" min="13" max="13"/>
    <col width="33" customWidth="1" min="14" max="14"/>
    <col width="14" customWidth="1" min="15" max="15"/>
  </cols>
  <sheetData>
    <row r="1">
      <c r="A1" t="inlineStr">
        <is>
          <t>RetPlanID</t>
        </is>
      </c>
      <c r="B1" t="inlineStr">
        <is>
          <t>ClientID</t>
        </is>
      </c>
      <c r="C1" t="inlineStr">
        <is>
          <t>TargetRetirementAge</t>
        </is>
      </c>
      <c r="D1" t="inlineStr">
        <is>
          <t>TargetRetirementDate</t>
        </is>
      </c>
      <c r="E1" t="inlineStr">
        <is>
          <t>DesiredAnnualNetIncome</t>
        </is>
      </c>
      <c r="F1" t="inlineStr">
        <is>
          <t>Currency</t>
        </is>
      </c>
      <c r="G1" t="inlineStr">
        <is>
          <t>ExpectedOtherAnnualIncome</t>
        </is>
      </c>
      <c r="H1" t="inlineStr">
        <is>
          <t>ExpectedStatePensionAnnual</t>
        </is>
      </c>
      <c r="I1" t="inlineStr">
        <is>
          <t>PlannedContributionAnnual</t>
        </is>
      </c>
      <c r="J1" t="inlineStr">
        <is>
          <t>ContributionEndAge</t>
        </is>
      </c>
      <c r="K1" t="inlineStr">
        <is>
          <t>GrowthAssumptionOverride</t>
        </is>
      </c>
      <c r="L1" t="inlineStr">
        <is>
          <t>InflationOverride</t>
        </is>
      </c>
      <c r="M1" t="inlineStr">
        <is>
          <t>WithdrawalRateOverride</t>
        </is>
      </c>
      <c r="N1" t="inlineStr">
        <is>
          <t>MostLikelyRetirementCountry</t>
        </is>
      </c>
      <c r="O1" t="inlineStr">
        <is>
          <t>Notes</t>
        </is>
      </c>
    </row>
  </sheetData>
  <dataValidations count="3">
    <dataValidation sqref="C2:C1000 J2:J1000" showDropDown="0" showInputMessage="0" showErrorMessage="0" allowBlank="1" type="whole" operator="between">
      <formula1>40</formula1>
      <formula2>80</formula2>
    </dataValidation>
    <dataValidation sqref="F2:F1000" showDropDown="0" showInputMessage="0" showErrorMessage="0" allowBlank="1" type="list">
      <formula1>"GBP,USD,AED,EUR"</formula1>
    </dataValidation>
    <dataValidation sqref="D2:D1000 N2:N1000" showDropDown="0" showInputMessage="0" showErrorMessage="0" allowBlank="1" type="list">
      <formula1>"UK,UAE,Portugal,Spain,Greece,France,Australia,USA,Other"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3" customWidth="1" min="4" max="4"/>
    <col width="25" customWidth="1" min="5" max="5"/>
    <col width="30" customWidth="1" min="6" max="6"/>
    <col width="17" customWidth="1" min="7" max="7"/>
    <col width="20" customWidth="1" min="8" max="8"/>
    <col width="28" customWidth="1" min="9" max="9"/>
    <col width="29" customWidth="1" min="10" max="10"/>
    <col width="33" customWidth="1" min="11" max="11"/>
  </cols>
  <sheetData>
    <row r="1">
      <c r="A1" t="inlineStr">
        <is>
          <t>ClientID</t>
        </is>
      </c>
      <c r="B1" t="inlineStr">
        <is>
          <t>ClientName</t>
        </is>
      </c>
      <c r="C1" t="inlineStr">
        <is>
          <t>AgeNow</t>
        </is>
      </c>
      <c r="D1" t="inlineStr">
        <is>
          <t>YearsToRetirement</t>
        </is>
      </c>
      <c r="E1" t="inlineStr">
        <is>
          <t>TargetRetirementAge</t>
        </is>
      </c>
      <c r="F1" t="inlineStr">
        <is>
          <t>ProjectedPotAtRetirement</t>
        </is>
      </c>
      <c r="G1" t="inlineStr">
        <is>
          <t>RequiredPot</t>
        </is>
      </c>
      <c r="H1" t="inlineStr">
        <is>
          <t>SurplusDeficit</t>
        </is>
      </c>
      <c r="I1" t="inlineStr">
        <is>
          <t>DesiredAnnualNetIncome</t>
        </is>
      </c>
      <c r="J1" t="inlineStr">
        <is>
          <t>OtherIncomeAtRetirement</t>
        </is>
      </c>
      <c r="K1" t="inlineStr">
        <is>
          <t>MostLikelyRetirementCountry</t>
        </is>
      </c>
    </row>
    <row r="2">
      <c r="B2">
        <f>IF($A2="","",XLOOKUP($A2,Clients!$A:$A,Clients!$D:$D)&amp;" "&amp;XLOOKUP($A2,Clients!$A:$A,Clients!$E:$E))</f>
        <v/>
      </c>
      <c r="C2">
        <f>IF($A2="","",DATEDIF(XLOOKUP($A2,Clients!$A:$A,Clients!$F:$F),VAL_DATE,"Y"))</f>
        <v/>
      </c>
      <c r="D2">
        <f>IF(OR($A2="",E2=""),"",E2-C2)</f>
        <v/>
      </c>
      <c r="E2">
        <f>IF($A2="","",XLOOKUP($A2,RetirementPlan!$B:$B,RetirementPlan!$C:$C,""))</f>
        <v/>
      </c>
      <c r="F2" s="9">
        <f>IF(OR($A2="",D2=""),"",FV(IF(IFERROR(XLOOKUP($A2,RetirementPlan!$B:$B,RetirementPlan!$K:$K,""),"")="",GROWTH,IFERROR(XLOOKUP($A2,RetirementPlan!$B:$B,RetirementPlan!$K:$K,""),"")),D2,-N(XLOOKUP($A2,RetirementPlan!$B:$B,RetirementPlan!$I:$I,0)),-SUMIFS(Assets!$J:$J,Assets!$B:$B,$A2,Assets!$R:$R,"Yes"),0))</f>
        <v/>
      </c>
      <c r="G2" s="9">
        <f>IF(OR($A2="",I2=""),"",MAX(0,(I2-J2)/IF(IFERROR(XLOOKUP($A2,RetirementPlan!$B:$B,RetirementPlan!$M:$M,""),"")="",SWR,IFERROR(XLOOKUP($A2,RetirementPlan!$B:$B,RetirementPlan!$M:$M,""),""))))</f>
        <v/>
      </c>
      <c r="H2" s="9">
        <f>IF(OR($A2="",F2="",G2=""),"",F2-G2)</f>
        <v/>
      </c>
      <c r="I2" s="9">
        <f>IF($A2="","",XLOOKUP($A2,RetirementPlan!$B:$B,RetirementPlan!$E:$E,""))</f>
        <v/>
      </c>
      <c r="J2" s="9">
        <f>IF($A2="","",N(XLOOKUP($A2,RetirementPlan!$B:$B,RetirementPlan!$G:$G,0))+N(XLOOKUP($A2,RetirementPlan!$B:$B,RetirementPlan!$H:$H,0)))</f>
        <v/>
      </c>
      <c r="K2">
        <f>IF($A2="","",IF(NOT(ISBLANK(XLOOKUP($A2,RetirementPlan!$B:$B,RetirementPlan!$N:$N,""))),XLOOKUP($A2,RetirementPlan!$B:$B,RetirementPlan!$N:$N,""),LET(cid,$A2,c,FILTER(LocationPlan!$D:$D,LocationPlan!$C:$C=cid),p,FILTER(LocationPlan!$E:$E,LocationPlan!$C:$C=cid),IFERROR(INDEX(c,MATCH(MAX(p),p,0)),""))))</f>
        <v/>
      </c>
    </row>
    <row r="3">
      <c r="B3">
        <f>IF($A3="","",XLOOKUP($A3,Clients!$A:$A,Clients!$D:$D)&amp;" "&amp;XLOOKUP($A3,Clients!$A:$A,Clients!$E:$E))</f>
        <v/>
      </c>
      <c r="C3">
        <f>IF($A3="","",DATEDIF(XLOOKUP($A3,Clients!$A:$A,Clients!$F:$F),VAL_DATE,"Y"))</f>
        <v/>
      </c>
      <c r="D3">
        <f>IF(OR($A3="",E3=""),"",E3-C3)</f>
        <v/>
      </c>
      <c r="E3">
        <f>IF($A3="","",XLOOKUP($A3,RetirementPlan!$B:$B,RetirementPlan!$C:$C,""))</f>
        <v/>
      </c>
      <c r="F3" s="9">
        <f>IF(OR($A3="",D3=""),"",FV(IF(IFERROR(XLOOKUP($A3,RetirementPlan!$B:$B,RetirementPlan!$K:$K,""),"")="",GROWTH,IFERROR(XLOOKUP($A3,RetirementPlan!$B:$B,RetirementPlan!$K:$K,""),"")),D3,-N(XLOOKUP($A3,RetirementPlan!$B:$B,RetirementPlan!$I:$I,0)),-SUMIFS(Assets!$J:$J,Assets!$B:$B,$A3,Assets!$R:$R,"Yes"),0))</f>
        <v/>
      </c>
      <c r="G3" s="9">
        <f>IF(OR($A3="",I3=""),"",MAX(0,(I3-J3)/IF(IFERROR(XLOOKUP($A3,RetirementPlan!$B:$B,RetirementPlan!$M:$M,""),"")="",SWR,IFERROR(XLOOKUP($A3,RetirementPlan!$B:$B,RetirementPlan!$M:$M,""),""))))</f>
        <v/>
      </c>
      <c r="H3" s="9">
        <f>IF(OR($A3="",F3="",G3=""),"",F3-G3)</f>
        <v/>
      </c>
      <c r="I3" s="9">
        <f>IF($A3="","",XLOOKUP($A3,RetirementPlan!$B:$B,RetirementPlan!$E:$E,""))</f>
        <v/>
      </c>
      <c r="J3" s="9">
        <f>IF($A3="","",N(XLOOKUP($A3,RetirementPlan!$B:$B,RetirementPlan!$G:$G,0))+N(XLOOKUP($A3,RetirementPlan!$B:$B,RetirementPlan!$H:$H,0)))</f>
        <v/>
      </c>
      <c r="K3">
        <f>IF($A3="","",IF(NOT(ISBLANK(XLOOKUP($A3,RetirementPlan!$B:$B,RetirementPlan!$N:$N,""))),XLOOKUP($A3,RetirementPlan!$B:$B,RetirementPlan!$N:$N,""),LET(cid,$A3,c,FILTER(LocationPlan!$D:$D,LocationPlan!$C:$C=cid),p,FILTER(LocationPlan!$E:$E,LocationPlan!$C:$C=cid),IFERROR(INDEX(c,MATCH(MAX(p),p,0)),""))))</f>
        <v/>
      </c>
    </row>
    <row r="4">
      <c r="B4">
        <f>IF($A4="","",XLOOKUP($A4,Clients!$A:$A,Clients!$D:$D)&amp;" "&amp;XLOOKUP($A4,Clients!$A:$A,Clients!$E:$E))</f>
        <v/>
      </c>
      <c r="C4">
        <f>IF($A4="","",DATEDIF(XLOOKUP($A4,Clients!$A:$A,Clients!$F:$F),VAL_DATE,"Y"))</f>
        <v/>
      </c>
      <c r="D4">
        <f>IF(OR($A4="",E4=""),"",E4-C4)</f>
        <v/>
      </c>
      <c r="E4">
        <f>IF($A4="","",XLOOKUP($A4,RetirementPlan!$B:$B,RetirementPlan!$C:$C,""))</f>
        <v/>
      </c>
      <c r="F4" s="9">
        <f>IF(OR($A4="",D4=""),"",FV(IF(IFERROR(XLOOKUP($A4,RetirementPlan!$B:$B,RetirementPlan!$K:$K,""),"")="",GROWTH,IFERROR(XLOOKUP($A4,RetirementPlan!$B:$B,RetirementPlan!$K:$K,""),"")),D4,-N(XLOOKUP($A4,RetirementPlan!$B:$B,RetirementPlan!$I:$I,0)),-SUMIFS(Assets!$J:$J,Assets!$B:$B,$A4,Assets!$R:$R,"Yes"),0))</f>
        <v/>
      </c>
      <c r="G4" s="9">
        <f>IF(OR($A4="",I4=""),"",MAX(0,(I4-J4)/IF(IFERROR(XLOOKUP($A4,RetirementPlan!$B:$B,RetirementPlan!$M:$M,""),"")="",SWR,IFERROR(XLOOKUP($A4,RetirementPlan!$B:$B,RetirementPlan!$M:$M,""),""))))</f>
        <v/>
      </c>
      <c r="H4" s="9">
        <f>IF(OR($A4="",F4="",G4=""),"",F4-G4)</f>
        <v/>
      </c>
      <c r="I4" s="9">
        <f>IF($A4="","",XLOOKUP($A4,RetirementPlan!$B:$B,RetirementPlan!$E:$E,""))</f>
        <v/>
      </c>
      <c r="J4" s="9">
        <f>IF($A4="","",N(XLOOKUP($A4,RetirementPlan!$B:$B,RetirementPlan!$G:$G,0))+N(XLOOKUP($A4,RetirementPlan!$B:$B,RetirementPlan!$H:$H,0)))</f>
        <v/>
      </c>
      <c r="K4">
        <f>IF($A4="","",IF(NOT(ISBLANK(XLOOKUP($A4,RetirementPlan!$B:$B,RetirementPlan!$N:$N,""))),XLOOKUP($A4,RetirementPlan!$B:$B,RetirementPlan!$N:$N,""),LET(cid,$A4,c,FILTER(LocationPlan!$D:$D,LocationPlan!$C:$C=cid),p,FILTER(LocationPlan!$E:$E,LocationPlan!$C:$C=cid),IFERROR(INDEX(c,MATCH(MAX(p),p,0)),""))))</f>
        <v/>
      </c>
    </row>
    <row r="5">
      <c r="B5">
        <f>IF($A5="","",XLOOKUP($A5,Clients!$A:$A,Clients!$D:$D)&amp;" "&amp;XLOOKUP($A5,Clients!$A:$A,Clients!$E:$E))</f>
        <v/>
      </c>
      <c r="C5">
        <f>IF($A5="","",DATEDIF(XLOOKUP($A5,Clients!$A:$A,Clients!$F:$F),VAL_DATE,"Y"))</f>
        <v/>
      </c>
      <c r="D5">
        <f>IF(OR($A5="",E5=""),"",E5-C5)</f>
        <v/>
      </c>
      <c r="E5">
        <f>IF($A5="","",XLOOKUP($A5,RetirementPlan!$B:$B,RetirementPlan!$C:$C,""))</f>
        <v/>
      </c>
      <c r="F5" s="9">
        <f>IF(OR($A5="",D5=""),"",FV(IF(IFERROR(XLOOKUP($A5,RetirementPlan!$B:$B,RetirementPlan!$K:$K,""),"")="",GROWTH,IFERROR(XLOOKUP($A5,RetirementPlan!$B:$B,RetirementPlan!$K:$K,""),"")),D5,-N(XLOOKUP($A5,RetirementPlan!$B:$B,RetirementPlan!$I:$I,0)),-SUMIFS(Assets!$J:$J,Assets!$B:$B,$A5,Assets!$R:$R,"Yes"),0))</f>
        <v/>
      </c>
      <c r="G5" s="9">
        <f>IF(OR($A5="",I5=""),"",MAX(0,(I5-J5)/IF(IFERROR(XLOOKUP($A5,RetirementPlan!$B:$B,RetirementPlan!$M:$M,""),"")="",SWR,IFERROR(XLOOKUP($A5,RetirementPlan!$B:$B,RetirementPlan!$M:$M,""),""))))</f>
        <v/>
      </c>
      <c r="H5" s="9">
        <f>IF(OR($A5="",F5="",G5=""),"",F5-G5)</f>
        <v/>
      </c>
      <c r="I5" s="9">
        <f>IF($A5="","",XLOOKUP($A5,RetirementPlan!$B:$B,RetirementPlan!$E:$E,""))</f>
        <v/>
      </c>
      <c r="J5" s="9">
        <f>IF($A5="","",N(XLOOKUP($A5,RetirementPlan!$B:$B,RetirementPlan!$G:$G,0))+N(XLOOKUP($A5,RetirementPlan!$B:$B,RetirementPlan!$H:$H,0)))</f>
        <v/>
      </c>
      <c r="K5">
        <f>IF($A5="","",IF(NOT(ISBLANK(XLOOKUP($A5,RetirementPlan!$B:$B,RetirementPlan!$N:$N,""))),XLOOKUP($A5,RetirementPlan!$B:$B,RetirementPlan!$N:$N,""),LET(cid,$A5,c,FILTER(LocationPlan!$D:$D,LocationPlan!$C:$C=cid),p,FILTER(LocationPlan!$E:$E,LocationPlan!$C:$C=cid),IFERROR(INDEX(c,MATCH(MAX(p),p,0)),""))))</f>
        <v/>
      </c>
    </row>
    <row r="6">
      <c r="B6">
        <f>IF($A6="","",XLOOKUP($A6,Clients!$A:$A,Clients!$D:$D)&amp;" "&amp;XLOOKUP($A6,Clients!$A:$A,Clients!$E:$E))</f>
        <v/>
      </c>
      <c r="C6">
        <f>IF($A6="","",DATEDIF(XLOOKUP($A6,Clients!$A:$A,Clients!$F:$F),VAL_DATE,"Y"))</f>
        <v/>
      </c>
      <c r="D6">
        <f>IF(OR($A6="",E6=""),"",E6-C6)</f>
        <v/>
      </c>
      <c r="E6">
        <f>IF($A6="","",XLOOKUP($A6,RetirementPlan!$B:$B,RetirementPlan!$C:$C,""))</f>
        <v/>
      </c>
      <c r="F6" s="9">
        <f>IF(OR($A6="",D6=""),"",FV(IF(IFERROR(XLOOKUP($A6,RetirementPlan!$B:$B,RetirementPlan!$K:$K,""),"")="",GROWTH,IFERROR(XLOOKUP($A6,RetirementPlan!$B:$B,RetirementPlan!$K:$K,""),"")),D6,-N(XLOOKUP($A6,RetirementPlan!$B:$B,RetirementPlan!$I:$I,0)),-SUMIFS(Assets!$J:$J,Assets!$B:$B,$A6,Assets!$R:$R,"Yes"),0))</f>
        <v/>
      </c>
      <c r="G6" s="9">
        <f>IF(OR($A6="",I6=""),"",MAX(0,(I6-J6)/IF(IFERROR(XLOOKUP($A6,RetirementPlan!$B:$B,RetirementPlan!$M:$M,""),"")="",SWR,IFERROR(XLOOKUP($A6,RetirementPlan!$B:$B,RetirementPlan!$M:$M,""),""))))</f>
        <v/>
      </c>
      <c r="H6" s="9">
        <f>IF(OR($A6="",F6="",G6=""),"",F6-G6)</f>
        <v/>
      </c>
      <c r="I6" s="9">
        <f>IF($A6="","",XLOOKUP($A6,RetirementPlan!$B:$B,RetirementPlan!$E:$E,""))</f>
        <v/>
      </c>
      <c r="J6" s="9">
        <f>IF($A6="","",N(XLOOKUP($A6,RetirementPlan!$B:$B,RetirementPlan!$G:$G,0))+N(XLOOKUP($A6,RetirementPlan!$B:$B,RetirementPlan!$H:$H,0)))</f>
        <v/>
      </c>
      <c r="K6">
        <f>IF($A6="","",IF(NOT(ISBLANK(XLOOKUP($A6,RetirementPlan!$B:$B,RetirementPlan!$N:$N,""))),XLOOKUP($A6,RetirementPlan!$B:$B,RetirementPlan!$N:$N,""),LET(cid,$A6,c,FILTER(LocationPlan!$D:$D,LocationPlan!$C:$C=cid),p,FILTER(LocationPlan!$E:$E,LocationPlan!$C:$C=cid),IFERROR(INDEX(c,MATCH(MAX(p),p,0)),""))))</f>
        <v/>
      </c>
    </row>
    <row r="7">
      <c r="B7">
        <f>IF($A7="","",XLOOKUP($A7,Clients!$A:$A,Clients!$D:$D)&amp;" "&amp;XLOOKUP($A7,Clients!$A:$A,Clients!$E:$E))</f>
        <v/>
      </c>
      <c r="C7">
        <f>IF($A7="","",DATEDIF(XLOOKUP($A7,Clients!$A:$A,Clients!$F:$F),VAL_DATE,"Y"))</f>
        <v/>
      </c>
      <c r="D7">
        <f>IF(OR($A7="",E7=""),"",E7-C7)</f>
        <v/>
      </c>
      <c r="E7">
        <f>IF($A7="","",XLOOKUP($A7,RetirementPlan!$B:$B,RetirementPlan!$C:$C,""))</f>
        <v/>
      </c>
      <c r="F7" s="9">
        <f>IF(OR($A7="",D7=""),"",FV(IF(IFERROR(XLOOKUP($A7,RetirementPlan!$B:$B,RetirementPlan!$K:$K,""),"")="",GROWTH,IFERROR(XLOOKUP($A7,RetirementPlan!$B:$B,RetirementPlan!$K:$K,""),"")),D7,-N(XLOOKUP($A7,RetirementPlan!$B:$B,RetirementPlan!$I:$I,0)),-SUMIFS(Assets!$J:$J,Assets!$B:$B,$A7,Assets!$R:$R,"Yes"),0))</f>
        <v/>
      </c>
      <c r="G7" s="9">
        <f>IF(OR($A7="",I7=""),"",MAX(0,(I7-J7)/IF(IFERROR(XLOOKUP($A7,RetirementPlan!$B:$B,RetirementPlan!$M:$M,""),"")="",SWR,IFERROR(XLOOKUP($A7,RetirementPlan!$B:$B,RetirementPlan!$M:$M,""),""))))</f>
        <v/>
      </c>
      <c r="H7" s="9">
        <f>IF(OR($A7="",F7="",G7=""),"",F7-G7)</f>
        <v/>
      </c>
      <c r="I7" s="9">
        <f>IF($A7="","",XLOOKUP($A7,RetirementPlan!$B:$B,RetirementPlan!$E:$E,""))</f>
        <v/>
      </c>
      <c r="J7" s="9">
        <f>IF($A7="","",N(XLOOKUP($A7,RetirementPlan!$B:$B,RetirementPlan!$G:$G,0))+N(XLOOKUP($A7,RetirementPlan!$B:$B,RetirementPlan!$H:$H,0)))</f>
        <v/>
      </c>
      <c r="K7">
        <f>IF($A7="","",IF(NOT(ISBLANK(XLOOKUP($A7,RetirementPlan!$B:$B,RetirementPlan!$N:$N,""))),XLOOKUP($A7,RetirementPlan!$B:$B,RetirementPlan!$N:$N,""),LET(cid,$A7,c,FILTER(LocationPlan!$D:$D,LocationPlan!$C:$C=cid),p,FILTER(LocationPlan!$E:$E,LocationPlan!$C:$C=cid),IFERROR(INDEX(c,MATCH(MAX(p),p,0)),""))))</f>
        <v/>
      </c>
    </row>
    <row r="8">
      <c r="B8">
        <f>IF($A8="","",XLOOKUP($A8,Clients!$A:$A,Clients!$D:$D)&amp;" "&amp;XLOOKUP($A8,Clients!$A:$A,Clients!$E:$E))</f>
        <v/>
      </c>
      <c r="C8">
        <f>IF($A8="","",DATEDIF(XLOOKUP($A8,Clients!$A:$A,Clients!$F:$F),VAL_DATE,"Y"))</f>
        <v/>
      </c>
      <c r="D8">
        <f>IF(OR($A8="",E8=""),"",E8-C8)</f>
        <v/>
      </c>
      <c r="E8">
        <f>IF($A8="","",XLOOKUP($A8,RetirementPlan!$B:$B,RetirementPlan!$C:$C,""))</f>
        <v/>
      </c>
      <c r="F8" s="9">
        <f>IF(OR($A8="",D8=""),"",FV(IF(IFERROR(XLOOKUP($A8,RetirementPlan!$B:$B,RetirementPlan!$K:$K,""),"")="",GROWTH,IFERROR(XLOOKUP($A8,RetirementPlan!$B:$B,RetirementPlan!$K:$K,""),"")),D8,-N(XLOOKUP($A8,RetirementPlan!$B:$B,RetirementPlan!$I:$I,0)),-SUMIFS(Assets!$J:$J,Assets!$B:$B,$A8,Assets!$R:$R,"Yes"),0))</f>
        <v/>
      </c>
      <c r="G8" s="9">
        <f>IF(OR($A8="",I8=""),"",MAX(0,(I8-J8)/IF(IFERROR(XLOOKUP($A8,RetirementPlan!$B:$B,RetirementPlan!$M:$M,""),"")="",SWR,IFERROR(XLOOKUP($A8,RetirementPlan!$B:$B,RetirementPlan!$M:$M,""),""))))</f>
        <v/>
      </c>
      <c r="H8" s="9">
        <f>IF(OR($A8="",F8="",G8=""),"",F8-G8)</f>
        <v/>
      </c>
      <c r="I8" s="9">
        <f>IF($A8="","",XLOOKUP($A8,RetirementPlan!$B:$B,RetirementPlan!$E:$E,""))</f>
        <v/>
      </c>
      <c r="J8" s="9">
        <f>IF($A8="","",N(XLOOKUP($A8,RetirementPlan!$B:$B,RetirementPlan!$G:$G,0))+N(XLOOKUP($A8,RetirementPlan!$B:$B,RetirementPlan!$H:$H,0)))</f>
        <v/>
      </c>
      <c r="K8">
        <f>IF($A8="","",IF(NOT(ISBLANK(XLOOKUP($A8,RetirementPlan!$B:$B,RetirementPlan!$N:$N,""))),XLOOKUP($A8,RetirementPlan!$B:$B,RetirementPlan!$N:$N,""),LET(cid,$A8,c,FILTER(LocationPlan!$D:$D,LocationPlan!$C:$C=cid),p,FILTER(LocationPlan!$E:$E,LocationPlan!$C:$C=cid),IFERROR(INDEX(c,MATCH(MAX(p),p,0)),""))))</f>
        <v/>
      </c>
    </row>
    <row r="9">
      <c r="B9">
        <f>IF($A9="","",XLOOKUP($A9,Clients!$A:$A,Clients!$D:$D)&amp;" "&amp;XLOOKUP($A9,Clients!$A:$A,Clients!$E:$E))</f>
        <v/>
      </c>
      <c r="C9">
        <f>IF($A9="","",DATEDIF(XLOOKUP($A9,Clients!$A:$A,Clients!$F:$F),VAL_DATE,"Y"))</f>
        <v/>
      </c>
      <c r="D9">
        <f>IF(OR($A9="",E9=""),"",E9-C9)</f>
        <v/>
      </c>
      <c r="E9">
        <f>IF($A9="","",XLOOKUP($A9,RetirementPlan!$B:$B,RetirementPlan!$C:$C,""))</f>
        <v/>
      </c>
      <c r="F9" s="9">
        <f>IF(OR($A9="",D9=""),"",FV(IF(IFERROR(XLOOKUP($A9,RetirementPlan!$B:$B,RetirementPlan!$K:$K,""),"")="",GROWTH,IFERROR(XLOOKUP($A9,RetirementPlan!$B:$B,RetirementPlan!$K:$K,""),"")),D9,-N(XLOOKUP($A9,RetirementPlan!$B:$B,RetirementPlan!$I:$I,0)),-SUMIFS(Assets!$J:$J,Assets!$B:$B,$A9,Assets!$R:$R,"Yes"),0))</f>
        <v/>
      </c>
      <c r="G9" s="9">
        <f>IF(OR($A9="",I9=""),"",MAX(0,(I9-J9)/IF(IFERROR(XLOOKUP($A9,RetirementPlan!$B:$B,RetirementPlan!$M:$M,""),"")="",SWR,IFERROR(XLOOKUP($A9,RetirementPlan!$B:$B,RetirementPlan!$M:$M,""),""))))</f>
        <v/>
      </c>
      <c r="H9" s="9">
        <f>IF(OR($A9="",F9="",G9=""),"",F9-G9)</f>
        <v/>
      </c>
      <c r="I9" s="9">
        <f>IF($A9="","",XLOOKUP($A9,RetirementPlan!$B:$B,RetirementPlan!$E:$E,""))</f>
        <v/>
      </c>
      <c r="J9" s="9">
        <f>IF($A9="","",N(XLOOKUP($A9,RetirementPlan!$B:$B,RetirementPlan!$G:$G,0))+N(XLOOKUP($A9,RetirementPlan!$B:$B,RetirementPlan!$H:$H,0)))</f>
        <v/>
      </c>
      <c r="K9">
        <f>IF($A9="","",IF(NOT(ISBLANK(XLOOKUP($A9,RetirementPlan!$B:$B,RetirementPlan!$N:$N,""))),XLOOKUP($A9,RetirementPlan!$B:$B,RetirementPlan!$N:$N,""),LET(cid,$A9,c,FILTER(LocationPlan!$D:$D,LocationPlan!$C:$C=cid),p,FILTER(LocationPlan!$E:$E,LocationPlan!$C:$C=cid),IFERROR(INDEX(c,MATCH(MAX(p),p,0)),""))))</f>
        <v/>
      </c>
    </row>
    <row r="10">
      <c r="B10">
        <f>IF($A10="","",XLOOKUP($A10,Clients!$A:$A,Clients!$D:$D)&amp;" "&amp;XLOOKUP($A10,Clients!$A:$A,Clients!$E:$E))</f>
        <v/>
      </c>
      <c r="C10">
        <f>IF($A10="","",DATEDIF(XLOOKUP($A10,Clients!$A:$A,Clients!$F:$F),VAL_DATE,"Y"))</f>
        <v/>
      </c>
      <c r="D10">
        <f>IF(OR($A10="",E10=""),"",E10-C10)</f>
        <v/>
      </c>
      <c r="E10">
        <f>IF($A10="","",XLOOKUP($A10,RetirementPlan!$B:$B,RetirementPlan!$C:$C,""))</f>
        <v/>
      </c>
      <c r="F10" s="9">
        <f>IF(OR($A10="",D10=""),"",FV(IF(IFERROR(XLOOKUP($A10,RetirementPlan!$B:$B,RetirementPlan!$K:$K,""),"")="",GROWTH,IFERROR(XLOOKUP($A10,RetirementPlan!$B:$B,RetirementPlan!$K:$K,""),"")),D10,-N(XLOOKUP($A10,RetirementPlan!$B:$B,RetirementPlan!$I:$I,0)),-SUMIFS(Assets!$J:$J,Assets!$B:$B,$A10,Assets!$R:$R,"Yes"),0))</f>
        <v/>
      </c>
      <c r="G10" s="9">
        <f>IF(OR($A10="",I10=""),"",MAX(0,(I10-J10)/IF(IFERROR(XLOOKUP($A10,RetirementPlan!$B:$B,RetirementPlan!$M:$M,""),"")="",SWR,IFERROR(XLOOKUP($A10,RetirementPlan!$B:$B,RetirementPlan!$M:$M,""),""))))</f>
        <v/>
      </c>
      <c r="H10" s="9">
        <f>IF(OR($A10="",F10="",G10=""),"",F10-G10)</f>
        <v/>
      </c>
      <c r="I10" s="9">
        <f>IF($A10="","",XLOOKUP($A10,RetirementPlan!$B:$B,RetirementPlan!$E:$E,""))</f>
        <v/>
      </c>
      <c r="J10" s="9">
        <f>IF($A10="","",N(XLOOKUP($A10,RetirementPlan!$B:$B,RetirementPlan!$G:$G,0))+N(XLOOKUP($A10,RetirementPlan!$B:$B,RetirementPlan!$H:$H,0)))</f>
        <v/>
      </c>
      <c r="K10">
        <f>IF($A10="","",IF(NOT(ISBLANK(XLOOKUP($A10,RetirementPlan!$B:$B,RetirementPlan!$N:$N,""))),XLOOKUP($A10,RetirementPlan!$B:$B,RetirementPlan!$N:$N,""),LET(cid,$A10,c,FILTER(LocationPlan!$D:$D,LocationPlan!$C:$C=cid),p,FILTER(LocationPlan!$E:$E,LocationPlan!$C:$C=cid),IFERROR(INDEX(c,MATCH(MAX(p),p,0)),""))))</f>
        <v/>
      </c>
    </row>
    <row r="11">
      <c r="B11">
        <f>IF($A11="","",XLOOKUP($A11,Clients!$A:$A,Clients!$D:$D)&amp;" "&amp;XLOOKUP($A11,Clients!$A:$A,Clients!$E:$E))</f>
        <v/>
      </c>
      <c r="C11">
        <f>IF($A11="","",DATEDIF(XLOOKUP($A11,Clients!$A:$A,Clients!$F:$F),VAL_DATE,"Y"))</f>
        <v/>
      </c>
      <c r="D11">
        <f>IF(OR($A11="",E11=""),"",E11-C11)</f>
        <v/>
      </c>
      <c r="E11">
        <f>IF($A11="","",XLOOKUP($A11,RetirementPlan!$B:$B,RetirementPlan!$C:$C,""))</f>
        <v/>
      </c>
      <c r="F11" s="9">
        <f>IF(OR($A11="",D11=""),"",FV(IF(IFERROR(XLOOKUP($A11,RetirementPlan!$B:$B,RetirementPlan!$K:$K,""),"")="",GROWTH,IFERROR(XLOOKUP($A11,RetirementPlan!$B:$B,RetirementPlan!$K:$K,""),"")),D11,-N(XLOOKUP($A11,RetirementPlan!$B:$B,RetirementPlan!$I:$I,0)),-SUMIFS(Assets!$J:$J,Assets!$B:$B,$A11,Assets!$R:$R,"Yes"),0))</f>
        <v/>
      </c>
      <c r="G11" s="9">
        <f>IF(OR($A11="",I11=""),"",MAX(0,(I11-J11)/IF(IFERROR(XLOOKUP($A11,RetirementPlan!$B:$B,RetirementPlan!$M:$M,""),"")="",SWR,IFERROR(XLOOKUP($A11,RetirementPlan!$B:$B,RetirementPlan!$M:$M,""),""))))</f>
        <v/>
      </c>
      <c r="H11" s="9">
        <f>IF(OR($A11="",F11="",G11=""),"",F11-G11)</f>
        <v/>
      </c>
      <c r="I11" s="9">
        <f>IF($A11="","",XLOOKUP($A11,RetirementPlan!$B:$B,RetirementPlan!$E:$E,""))</f>
        <v/>
      </c>
      <c r="J11" s="9">
        <f>IF($A11="","",N(XLOOKUP($A11,RetirementPlan!$B:$B,RetirementPlan!$G:$G,0))+N(XLOOKUP($A11,RetirementPlan!$B:$B,RetirementPlan!$H:$H,0)))</f>
        <v/>
      </c>
      <c r="K11">
        <f>IF($A11="","",IF(NOT(ISBLANK(XLOOKUP($A11,RetirementPlan!$B:$B,RetirementPlan!$N:$N,""))),XLOOKUP($A11,RetirementPlan!$B:$B,RetirementPlan!$N:$N,""),LET(cid,$A11,c,FILTER(LocationPlan!$D:$D,LocationPlan!$C:$C=cid),p,FILTER(LocationPlan!$E:$E,LocationPlan!$C:$C=cid),IFERROR(INDEX(c,MATCH(MAX(p),p,0)),""))))</f>
        <v/>
      </c>
    </row>
    <row r="12">
      <c r="B12">
        <f>IF($A12="","",XLOOKUP($A12,Clients!$A:$A,Clients!$D:$D)&amp;" "&amp;XLOOKUP($A12,Clients!$A:$A,Clients!$E:$E))</f>
        <v/>
      </c>
      <c r="C12">
        <f>IF($A12="","",DATEDIF(XLOOKUP($A12,Clients!$A:$A,Clients!$F:$F),VAL_DATE,"Y"))</f>
        <v/>
      </c>
      <c r="D12">
        <f>IF(OR($A12="",E12=""),"",E12-C12)</f>
        <v/>
      </c>
      <c r="E12">
        <f>IF($A12="","",XLOOKUP($A12,RetirementPlan!$B:$B,RetirementPlan!$C:$C,""))</f>
        <v/>
      </c>
      <c r="F12" s="9">
        <f>IF(OR($A12="",D12=""),"",FV(IF(IFERROR(XLOOKUP($A12,RetirementPlan!$B:$B,RetirementPlan!$K:$K,""),"")="",GROWTH,IFERROR(XLOOKUP($A12,RetirementPlan!$B:$B,RetirementPlan!$K:$K,""),"")),D12,-N(XLOOKUP($A12,RetirementPlan!$B:$B,RetirementPlan!$I:$I,0)),-SUMIFS(Assets!$J:$J,Assets!$B:$B,$A12,Assets!$R:$R,"Yes"),0))</f>
        <v/>
      </c>
      <c r="G12" s="9">
        <f>IF(OR($A12="",I12=""),"",MAX(0,(I12-J12)/IF(IFERROR(XLOOKUP($A12,RetirementPlan!$B:$B,RetirementPlan!$M:$M,""),"")="",SWR,IFERROR(XLOOKUP($A12,RetirementPlan!$B:$B,RetirementPlan!$M:$M,""),""))))</f>
        <v/>
      </c>
      <c r="H12" s="9">
        <f>IF(OR($A12="",F12="",G12=""),"",F12-G12)</f>
        <v/>
      </c>
      <c r="I12" s="9">
        <f>IF($A12="","",XLOOKUP($A12,RetirementPlan!$B:$B,RetirementPlan!$E:$E,""))</f>
        <v/>
      </c>
      <c r="J12" s="9">
        <f>IF($A12="","",N(XLOOKUP($A12,RetirementPlan!$B:$B,RetirementPlan!$G:$G,0))+N(XLOOKUP($A12,RetirementPlan!$B:$B,RetirementPlan!$H:$H,0)))</f>
        <v/>
      </c>
      <c r="K12">
        <f>IF($A12="","",IF(NOT(ISBLANK(XLOOKUP($A12,RetirementPlan!$B:$B,RetirementPlan!$N:$N,""))),XLOOKUP($A12,RetirementPlan!$B:$B,RetirementPlan!$N:$N,""),LET(cid,$A12,c,FILTER(LocationPlan!$D:$D,LocationPlan!$C:$C=cid),p,FILTER(LocationPlan!$E:$E,LocationPlan!$C:$C=cid),IFERROR(INDEX(c,MATCH(MAX(p),p,0)),""))))</f>
        <v/>
      </c>
    </row>
    <row r="13">
      <c r="B13">
        <f>IF($A13="","",XLOOKUP($A13,Clients!$A:$A,Clients!$D:$D)&amp;" "&amp;XLOOKUP($A13,Clients!$A:$A,Clients!$E:$E))</f>
        <v/>
      </c>
      <c r="C13">
        <f>IF($A13="","",DATEDIF(XLOOKUP($A13,Clients!$A:$A,Clients!$F:$F),VAL_DATE,"Y"))</f>
        <v/>
      </c>
      <c r="D13">
        <f>IF(OR($A13="",E13=""),"",E13-C13)</f>
        <v/>
      </c>
      <c r="E13">
        <f>IF($A13="","",XLOOKUP($A13,RetirementPlan!$B:$B,RetirementPlan!$C:$C,""))</f>
        <v/>
      </c>
      <c r="F13" s="9">
        <f>IF(OR($A13="",D13=""),"",FV(IF(IFERROR(XLOOKUP($A13,RetirementPlan!$B:$B,RetirementPlan!$K:$K,""),"")="",GROWTH,IFERROR(XLOOKUP($A13,RetirementPlan!$B:$B,RetirementPlan!$K:$K,""),"")),D13,-N(XLOOKUP($A13,RetirementPlan!$B:$B,RetirementPlan!$I:$I,0)),-SUMIFS(Assets!$J:$J,Assets!$B:$B,$A13,Assets!$R:$R,"Yes"),0))</f>
        <v/>
      </c>
      <c r="G13" s="9">
        <f>IF(OR($A13="",I13=""),"",MAX(0,(I13-J13)/IF(IFERROR(XLOOKUP($A13,RetirementPlan!$B:$B,RetirementPlan!$M:$M,""),"")="",SWR,IFERROR(XLOOKUP($A13,RetirementPlan!$B:$B,RetirementPlan!$M:$M,""),""))))</f>
        <v/>
      </c>
      <c r="H13" s="9">
        <f>IF(OR($A13="",F13="",G13=""),"",F13-G13)</f>
        <v/>
      </c>
      <c r="I13" s="9">
        <f>IF($A13="","",XLOOKUP($A13,RetirementPlan!$B:$B,RetirementPlan!$E:$E,""))</f>
        <v/>
      </c>
      <c r="J13" s="9">
        <f>IF($A13="","",N(XLOOKUP($A13,RetirementPlan!$B:$B,RetirementPlan!$G:$G,0))+N(XLOOKUP($A13,RetirementPlan!$B:$B,RetirementPlan!$H:$H,0)))</f>
        <v/>
      </c>
      <c r="K13">
        <f>IF($A13="","",IF(NOT(ISBLANK(XLOOKUP($A13,RetirementPlan!$B:$B,RetirementPlan!$N:$N,""))),XLOOKUP($A13,RetirementPlan!$B:$B,RetirementPlan!$N:$N,""),LET(cid,$A13,c,FILTER(LocationPlan!$D:$D,LocationPlan!$C:$C=cid),p,FILTER(LocationPlan!$E:$E,LocationPlan!$C:$C=cid),IFERROR(INDEX(c,MATCH(MAX(p),p,0)),""))))</f>
        <v/>
      </c>
    </row>
    <row r="14">
      <c r="B14">
        <f>IF($A14="","",XLOOKUP($A14,Clients!$A:$A,Clients!$D:$D)&amp;" "&amp;XLOOKUP($A14,Clients!$A:$A,Clients!$E:$E))</f>
        <v/>
      </c>
      <c r="C14">
        <f>IF($A14="","",DATEDIF(XLOOKUP($A14,Clients!$A:$A,Clients!$F:$F),VAL_DATE,"Y"))</f>
        <v/>
      </c>
      <c r="D14">
        <f>IF(OR($A14="",E14=""),"",E14-C14)</f>
        <v/>
      </c>
      <c r="E14">
        <f>IF($A14="","",XLOOKUP($A14,RetirementPlan!$B:$B,RetirementPlan!$C:$C,""))</f>
        <v/>
      </c>
      <c r="F14" s="9">
        <f>IF(OR($A14="",D14=""),"",FV(IF(IFERROR(XLOOKUP($A14,RetirementPlan!$B:$B,RetirementPlan!$K:$K,""),"")="",GROWTH,IFERROR(XLOOKUP($A14,RetirementPlan!$B:$B,RetirementPlan!$K:$K,""),"")),D14,-N(XLOOKUP($A14,RetirementPlan!$B:$B,RetirementPlan!$I:$I,0)),-SUMIFS(Assets!$J:$J,Assets!$B:$B,$A14,Assets!$R:$R,"Yes"),0))</f>
        <v/>
      </c>
      <c r="G14" s="9">
        <f>IF(OR($A14="",I14=""),"",MAX(0,(I14-J14)/IF(IFERROR(XLOOKUP($A14,RetirementPlan!$B:$B,RetirementPlan!$M:$M,""),"")="",SWR,IFERROR(XLOOKUP($A14,RetirementPlan!$B:$B,RetirementPlan!$M:$M,""),""))))</f>
        <v/>
      </c>
      <c r="H14" s="9">
        <f>IF(OR($A14="",F14="",G14=""),"",F14-G14)</f>
        <v/>
      </c>
      <c r="I14" s="9">
        <f>IF($A14="","",XLOOKUP($A14,RetirementPlan!$B:$B,RetirementPlan!$E:$E,""))</f>
        <v/>
      </c>
      <c r="J14" s="9">
        <f>IF($A14="","",N(XLOOKUP($A14,RetirementPlan!$B:$B,RetirementPlan!$G:$G,0))+N(XLOOKUP($A14,RetirementPlan!$B:$B,RetirementPlan!$H:$H,0)))</f>
        <v/>
      </c>
      <c r="K14">
        <f>IF($A14="","",IF(NOT(ISBLANK(XLOOKUP($A14,RetirementPlan!$B:$B,RetirementPlan!$N:$N,""))),XLOOKUP($A14,RetirementPlan!$B:$B,RetirementPlan!$N:$N,""),LET(cid,$A14,c,FILTER(LocationPlan!$D:$D,LocationPlan!$C:$C=cid),p,FILTER(LocationPlan!$E:$E,LocationPlan!$C:$C=cid),IFERROR(INDEX(c,MATCH(MAX(p),p,0)),""))))</f>
        <v/>
      </c>
    </row>
    <row r="15">
      <c r="B15">
        <f>IF($A15="","",XLOOKUP($A15,Clients!$A:$A,Clients!$D:$D)&amp;" "&amp;XLOOKUP($A15,Clients!$A:$A,Clients!$E:$E))</f>
        <v/>
      </c>
      <c r="C15">
        <f>IF($A15="","",DATEDIF(XLOOKUP($A15,Clients!$A:$A,Clients!$F:$F),VAL_DATE,"Y"))</f>
        <v/>
      </c>
      <c r="D15">
        <f>IF(OR($A15="",E15=""),"",E15-C15)</f>
        <v/>
      </c>
      <c r="E15">
        <f>IF($A15="","",XLOOKUP($A15,RetirementPlan!$B:$B,RetirementPlan!$C:$C,""))</f>
        <v/>
      </c>
      <c r="F15" s="9">
        <f>IF(OR($A15="",D15=""),"",FV(IF(IFERROR(XLOOKUP($A15,RetirementPlan!$B:$B,RetirementPlan!$K:$K,""),"")="",GROWTH,IFERROR(XLOOKUP($A15,RetirementPlan!$B:$B,RetirementPlan!$K:$K,""),"")),D15,-N(XLOOKUP($A15,RetirementPlan!$B:$B,RetirementPlan!$I:$I,0)),-SUMIFS(Assets!$J:$J,Assets!$B:$B,$A15,Assets!$R:$R,"Yes"),0))</f>
        <v/>
      </c>
      <c r="G15" s="9">
        <f>IF(OR($A15="",I15=""),"",MAX(0,(I15-J15)/IF(IFERROR(XLOOKUP($A15,RetirementPlan!$B:$B,RetirementPlan!$M:$M,""),"")="",SWR,IFERROR(XLOOKUP($A15,RetirementPlan!$B:$B,RetirementPlan!$M:$M,""),""))))</f>
        <v/>
      </c>
      <c r="H15" s="9">
        <f>IF(OR($A15="",F15="",G15=""),"",F15-G15)</f>
        <v/>
      </c>
      <c r="I15" s="9">
        <f>IF($A15="","",XLOOKUP($A15,RetirementPlan!$B:$B,RetirementPlan!$E:$E,""))</f>
        <v/>
      </c>
      <c r="J15" s="9">
        <f>IF($A15="","",N(XLOOKUP($A15,RetirementPlan!$B:$B,RetirementPlan!$G:$G,0))+N(XLOOKUP($A15,RetirementPlan!$B:$B,RetirementPlan!$H:$H,0)))</f>
        <v/>
      </c>
      <c r="K15">
        <f>IF($A15="","",IF(NOT(ISBLANK(XLOOKUP($A15,RetirementPlan!$B:$B,RetirementPlan!$N:$N,""))),XLOOKUP($A15,RetirementPlan!$B:$B,RetirementPlan!$N:$N,""),LET(cid,$A15,c,FILTER(LocationPlan!$D:$D,LocationPlan!$C:$C=cid),p,FILTER(LocationPlan!$E:$E,LocationPlan!$C:$C=cid),IFERROR(INDEX(c,MATCH(MAX(p),p,0)),""))))</f>
        <v/>
      </c>
    </row>
    <row r="16">
      <c r="B16">
        <f>IF($A16="","",XLOOKUP($A16,Clients!$A:$A,Clients!$D:$D)&amp;" "&amp;XLOOKUP($A16,Clients!$A:$A,Clients!$E:$E))</f>
        <v/>
      </c>
      <c r="C16">
        <f>IF($A16="","",DATEDIF(XLOOKUP($A16,Clients!$A:$A,Clients!$F:$F),VAL_DATE,"Y"))</f>
        <v/>
      </c>
      <c r="D16">
        <f>IF(OR($A16="",E16=""),"",E16-C16)</f>
        <v/>
      </c>
      <c r="E16">
        <f>IF($A16="","",XLOOKUP($A16,RetirementPlan!$B:$B,RetirementPlan!$C:$C,""))</f>
        <v/>
      </c>
      <c r="F16" s="9">
        <f>IF(OR($A16="",D16=""),"",FV(IF(IFERROR(XLOOKUP($A16,RetirementPlan!$B:$B,RetirementPlan!$K:$K,""),"")="",GROWTH,IFERROR(XLOOKUP($A16,RetirementPlan!$B:$B,RetirementPlan!$K:$K,""),"")),D16,-N(XLOOKUP($A16,RetirementPlan!$B:$B,RetirementPlan!$I:$I,0)),-SUMIFS(Assets!$J:$J,Assets!$B:$B,$A16,Assets!$R:$R,"Yes"),0))</f>
        <v/>
      </c>
      <c r="G16" s="9">
        <f>IF(OR($A16="",I16=""),"",MAX(0,(I16-J16)/IF(IFERROR(XLOOKUP($A16,RetirementPlan!$B:$B,RetirementPlan!$M:$M,""),"")="",SWR,IFERROR(XLOOKUP($A16,RetirementPlan!$B:$B,RetirementPlan!$M:$M,""),""))))</f>
        <v/>
      </c>
      <c r="H16" s="9">
        <f>IF(OR($A16="",F16="",G16=""),"",F16-G16)</f>
        <v/>
      </c>
      <c r="I16" s="9">
        <f>IF($A16="","",XLOOKUP($A16,RetirementPlan!$B:$B,RetirementPlan!$E:$E,""))</f>
        <v/>
      </c>
      <c r="J16" s="9">
        <f>IF($A16="","",N(XLOOKUP($A16,RetirementPlan!$B:$B,RetirementPlan!$G:$G,0))+N(XLOOKUP($A16,RetirementPlan!$B:$B,RetirementPlan!$H:$H,0)))</f>
        <v/>
      </c>
      <c r="K16">
        <f>IF($A16="","",IF(NOT(ISBLANK(XLOOKUP($A16,RetirementPlan!$B:$B,RetirementPlan!$N:$N,""))),XLOOKUP($A16,RetirementPlan!$B:$B,RetirementPlan!$N:$N,""),LET(cid,$A16,c,FILTER(LocationPlan!$D:$D,LocationPlan!$C:$C=cid),p,FILTER(LocationPlan!$E:$E,LocationPlan!$C:$C=cid),IFERROR(INDEX(c,MATCH(MAX(p),p,0)),""))))</f>
        <v/>
      </c>
    </row>
    <row r="17">
      <c r="B17">
        <f>IF($A17="","",XLOOKUP($A17,Clients!$A:$A,Clients!$D:$D)&amp;" "&amp;XLOOKUP($A17,Clients!$A:$A,Clients!$E:$E))</f>
        <v/>
      </c>
      <c r="C17">
        <f>IF($A17="","",DATEDIF(XLOOKUP($A17,Clients!$A:$A,Clients!$F:$F),VAL_DATE,"Y"))</f>
        <v/>
      </c>
      <c r="D17">
        <f>IF(OR($A17="",E17=""),"",E17-C17)</f>
        <v/>
      </c>
      <c r="E17">
        <f>IF($A17="","",XLOOKUP($A17,RetirementPlan!$B:$B,RetirementPlan!$C:$C,""))</f>
        <v/>
      </c>
      <c r="F17" s="9">
        <f>IF(OR($A17="",D17=""),"",FV(IF(IFERROR(XLOOKUP($A17,RetirementPlan!$B:$B,RetirementPlan!$K:$K,""),"")="",GROWTH,IFERROR(XLOOKUP($A17,RetirementPlan!$B:$B,RetirementPlan!$K:$K,""),"")),D17,-N(XLOOKUP($A17,RetirementPlan!$B:$B,RetirementPlan!$I:$I,0)),-SUMIFS(Assets!$J:$J,Assets!$B:$B,$A17,Assets!$R:$R,"Yes"),0))</f>
        <v/>
      </c>
      <c r="G17" s="9">
        <f>IF(OR($A17="",I17=""),"",MAX(0,(I17-J17)/IF(IFERROR(XLOOKUP($A17,RetirementPlan!$B:$B,RetirementPlan!$M:$M,""),"")="",SWR,IFERROR(XLOOKUP($A17,RetirementPlan!$B:$B,RetirementPlan!$M:$M,""),""))))</f>
        <v/>
      </c>
      <c r="H17" s="9">
        <f>IF(OR($A17="",F17="",G17=""),"",F17-G17)</f>
        <v/>
      </c>
      <c r="I17" s="9">
        <f>IF($A17="","",XLOOKUP($A17,RetirementPlan!$B:$B,RetirementPlan!$E:$E,""))</f>
        <v/>
      </c>
      <c r="J17" s="9">
        <f>IF($A17="","",N(XLOOKUP($A17,RetirementPlan!$B:$B,RetirementPlan!$G:$G,0))+N(XLOOKUP($A17,RetirementPlan!$B:$B,RetirementPlan!$H:$H,0)))</f>
        <v/>
      </c>
      <c r="K17">
        <f>IF($A17="","",IF(NOT(ISBLANK(XLOOKUP($A17,RetirementPlan!$B:$B,RetirementPlan!$N:$N,""))),XLOOKUP($A17,RetirementPlan!$B:$B,RetirementPlan!$N:$N,""),LET(cid,$A17,c,FILTER(LocationPlan!$D:$D,LocationPlan!$C:$C=cid),p,FILTER(LocationPlan!$E:$E,LocationPlan!$C:$C=cid),IFERROR(INDEX(c,MATCH(MAX(p),p,0)),""))))</f>
        <v/>
      </c>
    </row>
    <row r="18">
      <c r="B18">
        <f>IF($A18="","",XLOOKUP($A18,Clients!$A:$A,Clients!$D:$D)&amp;" "&amp;XLOOKUP($A18,Clients!$A:$A,Clients!$E:$E))</f>
        <v/>
      </c>
      <c r="C18">
        <f>IF($A18="","",DATEDIF(XLOOKUP($A18,Clients!$A:$A,Clients!$F:$F),VAL_DATE,"Y"))</f>
        <v/>
      </c>
      <c r="D18">
        <f>IF(OR($A18="",E18=""),"",E18-C18)</f>
        <v/>
      </c>
      <c r="E18">
        <f>IF($A18="","",XLOOKUP($A18,RetirementPlan!$B:$B,RetirementPlan!$C:$C,""))</f>
        <v/>
      </c>
      <c r="F18" s="9">
        <f>IF(OR($A18="",D18=""),"",FV(IF(IFERROR(XLOOKUP($A18,RetirementPlan!$B:$B,RetirementPlan!$K:$K,""),"")="",GROWTH,IFERROR(XLOOKUP($A18,RetirementPlan!$B:$B,RetirementPlan!$K:$K,""),"")),D18,-N(XLOOKUP($A18,RetirementPlan!$B:$B,RetirementPlan!$I:$I,0)),-SUMIFS(Assets!$J:$J,Assets!$B:$B,$A18,Assets!$R:$R,"Yes"),0))</f>
        <v/>
      </c>
      <c r="G18" s="9">
        <f>IF(OR($A18="",I18=""),"",MAX(0,(I18-J18)/IF(IFERROR(XLOOKUP($A18,RetirementPlan!$B:$B,RetirementPlan!$M:$M,""),"")="",SWR,IFERROR(XLOOKUP($A18,RetirementPlan!$B:$B,RetirementPlan!$M:$M,""),""))))</f>
        <v/>
      </c>
      <c r="H18" s="9">
        <f>IF(OR($A18="",F18="",G18=""),"",F18-G18)</f>
        <v/>
      </c>
      <c r="I18" s="9">
        <f>IF($A18="","",XLOOKUP($A18,RetirementPlan!$B:$B,RetirementPlan!$E:$E,""))</f>
        <v/>
      </c>
      <c r="J18" s="9">
        <f>IF($A18="","",N(XLOOKUP($A18,RetirementPlan!$B:$B,RetirementPlan!$G:$G,0))+N(XLOOKUP($A18,RetirementPlan!$B:$B,RetirementPlan!$H:$H,0)))</f>
        <v/>
      </c>
      <c r="K18">
        <f>IF($A18="","",IF(NOT(ISBLANK(XLOOKUP($A18,RetirementPlan!$B:$B,RetirementPlan!$N:$N,""))),XLOOKUP($A18,RetirementPlan!$B:$B,RetirementPlan!$N:$N,""),LET(cid,$A18,c,FILTER(LocationPlan!$D:$D,LocationPlan!$C:$C=cid),p,FILTER(LocationPlan!$E:$E,LocationPlan!$C:$C=cid),IFERROR(INDEX(c,MATCH(MAX(p),p,0)),""))))</f>
        <v/>
      </c>
    </row>
    <row r="19">
      <c r="B19">
        <f>IF($A19="","",XLOOKUP($A19,Clients!$A:$A,Clients!$D:$D)&amp;" "&amp;XLOOKUP($A19,Clients!$A:$A,Clients!$E:$E))</f>
        <v/>
      </c>
      <c r="C19">
        <f>IF($A19="","",DATEDIF(XLOOKUP($A19,Clients!$A:$A,Clients!$F:$F),VAL_DATE,"Y"))</f>
        <v/>
      </c>
      <c r="D19">
        <f>IF(OR($A19="",E19=""),"",E19-C19)</f>
        <v/>
      </c>
      <c r="E19">
        <f>IF($A19="","",XLOOKUP($A19,RetirementPlan!$B:$B,RetirementPlan!$C:$C,""))</f>
        <v/>
      </c>
      <c r="F19" s="9">
        <f>IF(OR($A19="",D19=""),"",FV(IF(IFERROR(XLOOKUP($A19,RetirementPlan!$B:$B,RetirementPlan!$K:$K,""),"")="",GROWTH,IFERROR(XLOOKUP($A19,RetirementPlan!$B:$B,RetirementPlan!$K:$K,""),"")),D19,-N(XLOOKUP($A19,RetirementPlan!$B:$B,RetirementPlan!$I:$I,0)),-SUMIFS(Assets!$J:$J,Assets!$B:$B,$A19,Assets!$R:$R,"Yes"),0))</f>
        <v/>
      </c>
      <c r="G19" s="9">
        <f>IF(OR($A19="",I19=""),"",MAX(0,(I19-J19)/IF(IFERROR(XLOOKUP($A19,RetirementPlan!$B:$B,RetirementPlan!$M:$M,""),"")="",SWR,IFERROR(XLOOKUP($A19,RetirementPlan!$B:$B,RetirementPlan!$M:$M,""),""))))</f>
        <v/>
      </c>
      <c r="H19" s="9">
        <f>IF(OR($A19="",F19="",G19=""),"",F19-G19)</f>
        <v/>
      </c>
      <c r="I19" s="9">
        <f>IF($A19="","",XLOOKUP($A19,RetirementPlan!$B:$B,RetirementPlan!$E:$E,""))</f>
        <v/>
      </c>
      <c r="J19" s="9">
        <f>IF($A19="","",N(XLOOKUP($A19,RetirementPlan!$B:$B,RetirementPlan!$G:$G,0))+N(XLOOKUP($A19,RetirementPlan!$B:$B,RetirementPlan!$H:$H,0)))</f>
        <v/>
      </c>
      <c r="K19">
        <f>IF($A19="","",IF(NOT(ISBLANK(XLOOKUP($A19,RetirementPlan!$B:$B,RetirementPlan!$N:$N,""))),XLOOKUP($A19,RetirementPlan!$B:$B,RetirementPlan!$N:$N,""),LET(cid,$A19,c,FILTER(LocationPlan!$D:$D,LocationPlan!$C:$C=cid),p,FILTER(LocationPlan!$E:$E,LocationPlan!$C:$C=cid),IFERROR(INDEX(c,MATCH(MAX(p),p,0)),""))))</f>
        <v/>
      </c>
    </row>
    <row r="20">
      <c r="B20">
        <f>IF($A20="","",XLOOKUP($A20,Clients!$A:$A,Clients!$D:$D)&amp;" "&amp;XLOOKUP($A20,Clients!$A:$A,Clients!$E:$E))</f>
        <v/>
      </c>
      <c r="C20">
        <f>IF($A20="","",DATEDIF(XLOOKUP($A20,Clients!$A:$A,Clients!$F:$F),VAL_DATE,"Y"))</f>
        <v/>
      </c>
      <c r="D20">
        <f>IF(OR($A20="",E20=""),"",E20-C20)</f>
        <v/>
      </c>
      <c r="E20">
        <f>IF($A20="","",XLOOKUP($A20,RetirementPlan!$B:$B,RetirementPlan!$C:$C,""))</f>
        <v/>
      </c>
      <c r="F20" s="9">
        <f>IF(OR($A20="",D20=""),"",FV(IF(IFERROR(XLOOKUP($A20,RetirementPlan!$B:$B,RetirementPlan!$K:$K,""),"")="",GROWTH,IFERROR(XLOOKUP($A20,RetirementPlan!$B:$B,RetirementPlan!$K:$K,""),"")),D20,-N(XLOOKUP($A20,RetirementPlan!$B:$B,RetirementPlan!$I:$I,0)),-SUMIFS(Assets!$J:$J,Assets!$B:$B,$A20,Assets!$R:$R,"Yes"),0))</f>
        <v/>
      </c>
      <c r="G20" s="9">
        <f>IF(OR($A20="",I20=""),"",MAX(0,(I20-J20)/IF(IFERROR(XLOOKUP($A20,RetirementPlan!$B:$B,RetirementPlan!$M:$M,""),"")="",SWR,IFERROR(XLOOKUP($A20,RetirementPlan!$B:$B,RetirementPlan!$M:$M,""),""))))</f>
        <v/>
      </c>
      <c r="H20" s="9">
        <f>IF(OR($A20="",F20="",G20=""),"",F20-G20)</f>
        <v/>
      </c>
      <c r="I20" s="9">
        <f>IF($A20="","",XLOOKUP($A20,RetirementPlan!$B:$B,RetirementPlan!$E:$E,""))</f>
        <v/>
      </c>
      <c r="J20" s="9">
        <f>IF($A20="","",N(XLOOKUP($A20,RetirementPlan!$B:$B,RetirementPlan!$G:$G,0))+N(XLOOKUP($A20,RetirementPlan!$B:$B,RetirementPlan!$H:$H,0)))</f>
        <v/>
      </c>
      <c r="K20">
        <f>IF($A20="","",IF(NOT(ISBLANK(XLOOKUP($A20,RetirementPlan!$B:$B,RetirementPlan!$N:$N,""))),XLOOKUP($A20,RetirementPlan!$B:$B,RetirementPlan!$N:$N,""),LET(cid,$A20,c,FILTER(LocationPlan!$D:$D,LocationPlan!$C:$C=cid),p,FILTER(LocationPlan!$E:$E,LocationPlan!$C:$C=cid),IFERROR(INDEX(c,MATCH(MAX(p),p,0)),""))))</f>
        <v/>
      </c>
    </row>
    <row r="21">
      <c r="B21">
        <f>IF($A21="","",XLOOKUP($A21,Clients!$A:$A,Clients!$D:$D)&amp;" "&amp;XLOOKUP($A21,Clients!$A:$A,Clients!$E:$E))</f>
        <v/>
      </c>
      <c r="C21">
        <f>IF($A21="","",DATEDIF(XLOOKUP($A21,Clients!$A:$A,Clients!$F:$F),VAL_DATE,"Y"))</f>
        <v/>
      </c>
      <c r="D21">
        <f>IF(OR($A21="",E21=""),"",E21-C21)</f>
        <v/>
      </c>
      <c r="E21">
        <f>IF($A21="","",XLOOKUP($A21,RetirementPlan!$B:$B,RetirementPlan!$C:$C,""))</f>
        <v/>
      </c>
      <c r="F21" s="9">
        <f>IF(OR($A21="",D21=""),"",FV(IF(IFERROR(XLOOKUP($A21,RetirementPlan!$B:$B,RetirementPlan!$K:$K,""),"")="",GROWTH,IFERROR(XLOOKUP($A21,RetirementPlan!$B:$B,RetirementPlan!$K:$K,""),"")),D21,-N(XLOOKUP($A21,RetirementPlan!$B:$B,RetirementPlan!$I:$I,0)),-SUMIFS(Assets!$J:$J,Assets!$B:$B,$A21,Assets!$R:$R,"Yes"),0))</f>
        <v/>
      </c>
      <c r="G21" s="9">
        <f>IF(OR($A21="",I21=""),"",MAX(0,(I21-J21)/IF(IFERROR(XLOOKUP($A21,RetirementPlan!$B:$B,RetirementPlan!$M:$M,""),"")="",SWR,IFERROR(XLOOKUP($A21,RetirementPlan!$B:$B,RetirementPlan!$M:$M,""),""))))</f>
        <v/>
      </c>
      <c r="H21" s="9">
        <f>IF(OR($A21="",F21="",G21=""),"",F21-G21)</f>
        <v/>
      </c>
      <c r="I21" s="9">
        <f>IF($A21="","",XLOOKUP($A21,RetirementPlan!$B:$B,RetirementPlan!$E:$E,""))</f>
        <v/>
      </c>
      <c r="J21" s="9">
        <f>IF($A21="","",N(XLOOKUP($A21,RetirementPlan!$B:$B,RetirementPlan!$G:$G,0))+N(XLOOKUP($A21,RetirementPlan!$B:$B,RetirementPlan!$H:$H,0)))</f>
        <v/>
      </c>
      <c r="K21">
        <f>IF($A21="","",IF(NOT(ISBLANK(XLOOKUP($A21,RetirementPlan!$B:$B,RetirementPlan!$N:$N,""))),XLOOKUP($A21,RetirementPlan!$B:$B,RetirementPlan!$N:$N,""),LET(cid,$A21,c,FILTER(LocationPlan!$D:$D,LocationPlan!$C:$C=cid),p,FILTER(LocationPlan!$E:$E,LocationPlan!$C:$C=cid),IFERROR(INDEX(c,MATCH(MAX(p),p,0)),""))))</f>
        <v/>
      </c>
    </row>
    <row r="22">
      <c r="B22">
        <f>IF($A22="","",XLOOKUP($A22,Clients!$A:$A,Clients!$D:$D)&amp;" "&amp;XLOOKUP($A22,Clients!$A:$A,Clients!$E:$E))</f>
        <v/>
      </c>
      <c r="C22">
        <f>IF($A22="","",DATEDIF(XLOOKUP($A22,Clients!$A:$A,Clients!$F:$F),VAL_DATE,"Y"))</f>
        <v/>
      </c>
      <c r="D22">
        <f>IF(OR($A22="",E22=""),"",E22-C22)</f>
        <v/>
      </c>
      <c r="E22">
        <f>IF($A22="","",XLOOKUP($A22,RetirementPlan!$B:$B,RetirementPlan!$C:$C,""))</f>
        <v/>
      </c>
      <c r="F22" s="9">
        <f>IF(OR($A22="",D22=""),"",FV(IF(IFERROR(XLOOKUP($A22,RetirementPlan!$B:$B,RetirementPlan!$K:$K,""),"")="",GROWTH,IFERROR(XLOOKUP($A22,RetirementPlan!$B:$B,RetirementPlan!$K:$K,""),"")),D22,-N(XLOOKUP($A22,RetirementPlan!$B:$B,RetirementPlan!$I:$I,0)),-SUMIFS(Assets!$J:$J,Assets!$B:$B,$A22,Assets!$R:$R,"Yes"),0))</f>
        <v/>
      </c>
      <c r="G22" s="9">
        <f>IF(OR($A22="",I22=""),"",MAX(0,(I22-J22)/IF(IFERROR(XLOOKUP($A22,RetirementPlan!$B:$B,RetirementPlan!$M:$M,""),"")="",SWR,IFERROR(XLOOKUP($A22,RetirementPlan!$B:$B,RetirementPlan!$M:$M,""),""))))</f>
        <v/>
      </c>
      <c r="H22" s="9">
        <f>IF(OR($A22="",F22="",G22=""),"",F22-G22)</f>
        <v/>
      </c>
      <c r="I22" s="9">
        <f>IF($A22="","",XLOOKUP($A22,RetirementPlan!$B:$B,RetirementPlan!$E:$E,""))</f>
        <v/>
      </c>
      <c r="J22" s="9">
        <f>IF($A22="","",N(XLOOKUP($A22,RetirementPlan!$B:$B,RetirementPlan!$G:$G,0))+N(XLOOKUP($A22,RetirementPlan!$B:$B,RetirementPlan!$H:$H,0)))</f>
        <v/>
      </c>
      <c r="K22">
        <f>IF($A22="","",IF(NOT(ISBLANK(XLOOKUP($A22,RetirementPlan!$B:$B,RetirementPlan!$N:$N,""))),XLOOKUP($A22,RetirementPlan!$B:$B,RetirementPlan!$N:$N,""),LET(cid,$A22,c,FILTER(LocationPlan!$D:$D,LocationPlan!$C:$C=cid),p,FILTER(LocationPlan!$E:$E,LocationPlan!$C:$C=cid),IFERROR(INDEX(c,MATCH(MAX(p),p,0)),""))))</f>
        <v/>
      </c>
    </row>
    <row r="23">
      <c r="B23">
        <f>IF($A23="","",XLOOKUP($A23,Clients!$A:$A,Clients!$D:$D)&amp;" "&amp;XLOOKUP($A23,Clients!$A:$A,Clients!$E:$E))</f>
        <v/>
      </c>
      <c r="C23">
        <f>IF($A23="","",DATEDIF(XLOOKUP($A23,Clients!$A:$A,Clients!$F:$F),VAL_DATE,"Y"))</f>
        <v/>
      </c>
      <c r="D23">
        <f>IF(OR($A23="",E23=""),"",E23-C23)</f>
        <v/>
      </c>
      <c r="E23">
        <f>IF($A23="","",XLOOKUP($A23,RetirementPlan!$B:$B,RetirementPlan!$C:$C,""))</f>
        <v/>
      </c>
      <c r="F23" s="9">
        <f>IF(OR($A23="",D23=""),"",FV(IF(IFERROR(XLOOKUP($A23,RetirementPlan!$B:$B,RetirementPlan!$K:$K,""),"")="",GROWTH,IFERROR(XLOOKUP($A23,RetirementPlan!$B:$B,RetirementPlan!$K:$K,""),"")),D23,-N(XLOOKUP($A23,RetirementPlan!$B:$B,RetirementPlan!$I:$I,0)),-SUMIFS(Assets!$J:$J,Assets!$B:$B,$A23,Assets!$R:$R,"Yes"),0))</f>
        <v/>
      </c>
      <c r="G23" s="9">
        <f>IF(OR($A23="",I23=""),"",MAX(0,(I23-J23)/IF(IFERROR(XLOOKUP($A23,RetirementPlan!$B:$B,RetirementPlan!$M:$M,""),"")="",SWR,IFERROR(XLOOKUP($A23,RetirementPlan!$B:$B,RetirementPlan!$M:$M,""),""))))</f>
        <v/>
      </c>
      <c r="H23" s="9">
        <f>IF(OR($A23="",F23="",G23=""),"",F23-G23)</f>
        <v/>
      </c>
      <c r="I23" s="9">
        <f>IF($A23="","",XLOOKUP($A23,RetirementPlan!$B:$B,RetirementPlan!$E:$E,""))</f>
        <v/>
      </c>
      <c r="J23" s="9">
        <f>IF($A23="","",N(XLOOKUP($A23,RetirementPlan!$B:$B,RetirementPlan!$G:$G,0))+N(XLOOKUP($A23,RetirementPlan!$B:$B,RetirementPlan!$H:$H,0)))</f>
        <v/>
      </c>
      <c r="K23">
        <f>IF($A23="","",IF(NOT(ISBLANK(XLOOKUP($A23,RetirementPlan!$B:$B,RetirementPlan!$N:$N,""))),XLOOKUP($A23,RetirementPlan!$B:$B,RetirementPlan!$N:$N,""),LET(cid,$A23,c,FILTER(LocationPlan!$D:$D,LocationPlan!$C:$C=cid),p,FILTER(LocationPlan!$E:$E,LocationPlan!$C:$C=cid),IFERROR(INDEX(c,MATCH(MAX(p),p,0)),""))))</f>
        <v/>
      </c>
    </row>
    <row r="24">
      <c r="B24">
        <f>IF($A24="","",XLOOKUP($A24,Clients!$A:$A,Clients!$D:$D)&amp;" "&amp;XLOOKUP($A24,Clients!$A:$A,Clients!$E:$E))</f>
        <v/>
      </c>
      <c r="C24">
        <f>IF($A24="","",DATEDIF(XLOOKUP($A24,Clients!$A:$A,Clients!$F:$F),VAL_DATE,"Y"))</f>
        <v/>
      </c>
      <c r="D24">
        <f>IF(OR($A24="",E24=""),"",E24-C24)</f>
        <v/>
      </c>
      <c r="E24">
        <f>IF($A24="","",XLOOKUP($A24,RetirementPlan!$B:$B,RetirementPlan!$C:$C,""))</f>
        <v/>
      </c>
      <c r="F24" s="9">
        <f>IF(OR($A24="",D24=""),"",FV(IF(IFERROR(XLOOKUP($A24,RetirementPlan!$B:$B,RetirementPlan!$K:$K,""),"")="",GROWTH,IFERROR(XLOOKUP($A24,RetirementPlan!$B:$B,RetirementPlan!$K:$K,""),"")),D24,-N(XLOOKUP($A24,RetirementPlan!$B:$B,RetirementPlan!$I:$I,0)),-SUMIFS(Assets!$J:$J,Assets!$B:$B,$A24,Assets!$R:$R,"Yes"),0))</f>
        <v/>
      </c>
      <c r="G24" s="9">
        <f>IF(OR($A24="",I24=""),"",MAX(0,(I24-J24)/IF(IFERROR(XLOOKUP($A24,RetirementPlan!$B:$B,RetirementPlan!$M:$M,""),"")="",SWR,IFERROR(XLOOKUP($A24,RetirementPlan!$B:$B,RetirementPlan!$M:$M,""),""))))</f>
        <v/>
      </c>
      <c r="H24" s="9">
        <f>IF(OR($A24="",F24="",G24=""),"",F24-G24)</f>
        <v/>
      </c>
      <c r="I24" s="9">
        <f>IF($A24="","",XLOOKUP($A24,RetirementPlan!$B:$B,RetirementPlan!$E:$E,""))</f>
        <v/>
      </c>
      <c r="J24" s="9">
        <f>IF($A24="","",N(XLOOKUP($A24,RetirementPlan!$B:$B,RetirementPlan!$G:$G,0))+N(XLOOKUP($A24,RetirementPlan!$B:$B,RetirementPlan!$H:$H,0)))</f>
        <v/>
      </c>
      <c r="K24">
        <f>IF($A24="","",IF(NOT(ISBLANK(XLOOKUP($A24,RetirementPlan!$B:$B,RetirementPlan!$N:$N,""))),XLOOKUP($A24,RetirementPlan!$B:$B,RetirementPlan!$N:$N,""),LET(cid,$A24,c,FILTER(LocationPlan!$D:$D,LocationPlan!$C:$C=cid),p,FILTER(LocationPlan!$E:$E,LocationPlan!$C:$C=cid),IFERROR(INDEX(c,MATCH(MAX(p),p,0)),""))))</f>
        <v/>
      </c>
    </row>
    <row r="25">
      <c r="B25">
        <f>IF($A25="","",XLOOKUP($A25,Clients!$A:$A,Clients!$D:$D)&amp;" "&amp;XLOOKUP($A25,Clients!$A:$A,Clients!$E:$E))</f>
        <v/>
      </c>
      <c r="C25">
        <f>IF($A25="","",DATEDIF(XLOOKUP($A25,Clients!$A:$A,Clients!$F:$F),VAL_DATE,"Y"))</f>
        <v/>
      </c>
      <c r="D25">
        <f>IF(OR($A25="",E25=""),"",E25-C25)</f>
        <v/>
      </c>
      <c r="E25">
        <f>IF($A25="","",XLOOKUP($A25,RetirementPlan!$B:$B,RetirementPlan!$C:$C,""))</f>
        <v/>
      </c>
      <c r="F25" s="9">
        <f>IF(OR($A25="",D25=""),"",FV(IF(IFERROR(XLOOKUP($A25,RetirementPlan!$B:$B,RetirementPlan!$K:$K,""),"")="",GROWTH,IFERROR(XLOOKUP($A25,RetirementPlan!$B:$B,RetirementPlan!$K:$K,""),"")),D25,-N(XLOOKUP($A25,RetirementPlan!$B:$B,RetirementPlan!$I:$I,0)),-SUMIFS(Assets!$J:$J,Assets!$B:$B,$A25,Assets!$R:$R,"Yes"),0))</f>
        <v/>
      </c>
      <c r="G25" s="9">
        <f>IF(OR($A25="",I25=""),"",MAX(0,(I25-J25)/IF(IFERROR(XLOOKUP($A25,RetirementPlan!$B:$B,RetirementPlan!$M:$M,""),"")="",SWR,IFERROR(XLOOKUP($A25,RetirementPlan!$B:$B,RetirementPlan!$M:$M,""),""))))</f>
        <v/>
      </c>
      <c r="H25" s="9">
        <f>IF(OR($A25="",F25="",G25=""),"",F25-G25)</f>
        <v/>
      </c>
      <c r="I25" s="9">
        <f>IF($A25="","",XLOOKUP($A25,RetirementPlan!$B:$B,RetirementPlan!$E:$E,""))</f>
        <v/>
      </c>
      <c r="J25" s="9">
        <f>IF($A25="","",N(XLOOKUP($A25,RetirementPlan!$B:$B,RetirementPlan!$G:$G,0))+N(XLOOKUP($A25,RetirementPlan!$B:$B,RetirementPlan!$H:$H,0)))</f>
        <v/>
      </c>
      <c r="K25">
        <f>IF($A25="","",IF(NOT(ISBLANK(XLOOKUP($A25,RetirementPlan!$B:$B,RetirementPlan!$N:$N,""))),XLOOKUP($A25,RetirementPlan!$B:$B,RetirementPlan!$N:$N,""),LET(cid,$A25,c,FILTER(LocationPlan!$D:$D,LocationPlan!$C:$C=cid),p,FILTER(LocationPlan!$E:$E,LocationPlan!$C:$C=cid),IFERROR(INDEX(c,MATCH(MAX(p),p,0)),""))))</f>
        <v/>
      </c>
    </row>
    <row r="26">
      <c r="B26">
        <f>IF($A26="","",XLOOKUP($A26,Clients!$A:$A,Clients!$D:$D)&amp;" "&amp;XLOOKUP($A26,Clients!$A:$A,Clients!$E:$E))</f>
        <v/>
      </c>
      <c r="C26">
        <f>IF($A26="","",DATEDIF(XLOOKUP($A26,Clients!$A:$A,Clients!$F:$F),VAL_DATE,"Y"))</f>
        <v/>
      </c>
      <c r="D26">
        <f>IF(OR($A26="",E26=""),"",E26-C26)</f>
        <v/>
      </c>
      <c r="E26">
        <f>IF($A26="","",XLOOKUP($A26,RetirementPlan!$B:$B,RetirementPlan!$C:$C,""))</f>
        <v/>
      </c>
      <c r="F26" s="9">
        <f>IF(OR($A26="",D26=""),"",FV(IF(IFERROR(XLOOKUP($A26,RetirementPlan!$B:$B,RetirementPlan!$K:$K,""),"")="",GROWTH,IFERROR(XLOOKUP($A26,RetirementPlan!$B:$B,RetirementPlan!$K:$K,""),"")),D26,-N(XLOOKUP($A26,RetirementPlan!$B:$B,RetirementPlan!$I:$I,0)),-SUMIFS(Assets!$J:$J,Assets!$B:$B,$A26,Assets!$R:$R,"Yes"),0))</f>
        <v/>
      </c>
      <c r="G26" s="9">
        <f>IF(OR($A26="",I26=""),"",MAX(0,(I26-J26)/IF(IFERROR(XLOOKUP($A26,RetirementPlan!$B:$B,RetirementPlan!$M:$M,""),"")="",SWR,IFERROR(XLOOKUP($A26,RetirementPlan!$B:$B,RetirementPlan!$M:$M,""),""))))</f>
        <v/>
      </c>
      <c r="H26" s="9">
        <f>IF(OR($A26="",F26="",G26=""),"",F26-G26)</f>
        <v/>
      </c>
      <c r="I26" s="9">
        <f>IF($A26="","",XLOOKUP($A26,RetirementPlan!$B:$B,RetirementPlan!$E:$E,""))</f>
        <v/>
      </c>
      <c r="J26" s="9">
        <f>IF($A26="","",N(XLOOKUP($A26,RetirementPlan!$B:$B,RetirementPlan!$G:$G,0))+N(XLOOKUP($A26,RetirementPlan!$B:$B,RetirementPlan!$H:$H,0)))</f>
        <v/>
      </c>
      <c r="K26">
        <f>IF($A26="","",IF(NOT(ISBLANK(XLOOKUP($A26,RetirementPlan!$B:$B,RetirementPlan!$N:$N,""))),XLOOKUP($A26,RetirementPlan!$B:$B,RetirementPlan!$N:$N,""),LET(cid,$A26,c,FILTER(LocationPlan!$D:$D,LocationPlan!$C:$C=cid),p,FILTER(LocationPlan!$E:$E,LocationPlan!$C:$C=cid),IFERROR(INDEX(c,MATCH(MAX(p),p,0)),""))))</f>
        <v/>
      </c>
    </row>
    <row r="27">
      <c r="B27">
        <f>IF($A27="","",XLOOKUP($A27,Clients!$A:$A,Clients!$D:$D)&amp;" "&amp;XLOOKUP($A27,Clients!$A:$A,Clients!$E:$E))</f>
        <v/>
      </c>
      <c r="C27">
        <f>IF($A27="","",DATEDIF(XLOOKUP($A27,Clients!$A:$A,Clients!$F:$F),VAL_DATE,"Y"))</f>
        <v/>
      </c>
      <c r="D27">
        <f>IF(OR($A27="",E27=""),"",E27-C27)</f>
        <v/>
      </c>
      <c r="E27">
        <f>IF($A27="","",XLOOKUP($A27,RetirementPlan!$B:$B,RetirementPlan!$C:$C,""))</f>
        <v/>
      </c>
      <c r="F27" s="9">
        <f>IF(OR($A27="",D27=""),"",FV(IF(IFERROR(XLOOKUP($A27,RetirementPlan!$B:$B,RetirementPlan!$K:$K,""),"")="",GROWTH,IFERROR(XLOOKUP($A27,RetirementPlan!$B:$B,RetirementPlan!$K:$K,""),"")),D27,-N(XLOOKUP($A27,RetirementPlan!$B:$B,RetirementPlan!$I:$I,0)),-SUMIFS(Assets!$J:$J,Assets!$B:$B,$A27,Assets!$R:$R,"Yes"),0))</f>
        <v/>
      </c>
      <c r="G27" s="9">
        <f>IF(OR($A27="",I27=""),"",MAX(0,(I27-J27)/IF(IFERROR(XLOOKUP($A27,RetirementPlan!$B:$B,RetirementPlan!$M:$M,""),"")="",SWR,IFERROR(XLOOKUP($A27,RetirementPlan!$B:$B,RetirementPlan!$M:$M,""),""))))</f>
        <v/>
      </c>
      <c r="H27" s="9">
        <f>IF(OR($A27="",F27="",G27=""),"",F27-G27)</f>
        <v/>
      </c>
      <c r="I27" s="9">
        <f>IF($A27="","",XLOOKUP($A27,RetirementPlan!$B:$B,RetirementPlan!$E:$E,""))</f>
        <v/>
      </c>
      <c r="J27" s="9">
        <f>IF($A27="","",N(XLOOKUP($A27,RetirementPlan!$B:$B,RetirementPlan!$G:$G,0))+N(XLOOKUP($A27,RetirementPlan!$B:$B,RetirementPlan!$H:$H,0)))</f>
        <v/>
      </c>
      <c r="K27">
        <f>IF($A27="","",IF(NOT(ISBLANK(XLOOKUP($A27,RetirementPlan!$B:$B,RetirementPlan!$N:$N,""))),XLOOKUP($A27,RetirementPlan!$B:$B,RetirementPlan!$N:$N,""),LET(cid,$A27,c,FILTER(LocationPlan!$D:$D,LocationPlan!$C:$C=cid),p,FILTER(LocationPlan!$E:$E,LocationPlan!$C:$C=cid),IFERROR(INDEX(c,MATCH(MAX(p),p,0)),""))))</f>
        <v/>
      </c>
    </row>
    <row r="28">
      <c r="B28">
        <f>IF($A28="","",XLOOKUP($A28,Clients!$A:$A,Clients!$D:$D)&amp;" "&amp;XLOOKUP($A28,Clients!$A:$A,Clients!$E:$E))</f>
        <v/>
      </c>
      <c r="C28">
        <f>IF($A28="","",DATEDIF(XLOOKUP($A28,Clients!$A:$A,Clients!$F:$F),VAL_DATE,"Y"))</f>
        <v/>
      </c>
      <c r="D28">
        <f>IF(OR($A28="",E28=""),"",E28-C28)</f>
        <v/>
      </c>
      <c r="E28">
        <f>IF($A28="","",XLOOKUP($A28,RetirementPlan!$B:$B,RetirementPlan!$C:$C,""))</f>
        <v/>
      </c>
      <c r="F28" s="9">
        <f>IF(OR($A28="",D28=""),"",FV(IF(IFERROR(XLOOKUP($A28,RetirementPlan!$B:$B,RetirementPlan!$K:$K,""),"")="",GROWTH,IFERROR(XLOOKUP($A28,RetirementPlan!$B:$B,RetirementPlan!$K:$K,""),"")),D28,-N(XLOOKUP($A28,RetirementPlan!$B:$B,RetirementPlan!$I:$I,0)),-SUMIFS(Assets!$J:$J,Assets!$B:$B,$A28,Assets!$R:$R,"Yes"),0))</f>
        <v/>
      </c>
      <c r="G28" s="9">
        <f>IF(OR($A28="",I28=""),"",MAX(0,(I28-J28)/IF(IFERROR(XLOOKUP($A28,RetirementPlan!$B:$B,RetirementPlan!$M:$M,""),"")="",SWR,IFERROR(XLOOKUP($A28,RetirementPlan!$B:$B,RetirementPlan!$M:$M,""),""))))</f>
        <v/>
      </c>
      <c r="H28" s="9">
        <f>IF(OR($A28="",F28="",G28=""),"",F28-G28)</f>
        <v/>
      </c>
      <c r="I28" s="9">
        <f>IF($A28="","",XLOOKUP($A28,RetirementPlan!$B:$B,RetirementPlan!$E:$E,""))</f>
        <v/>
      </c>
      <c r="J28" s="9">
        <f>IF($A28="","",N(XLOOKUP($A28,RetirementPlan!$B:$B,RetirementPlan!$G:$G,0))+N(XLOOKUP($A28,RetirementPlan!$B:$B,RetirementPlan!$H:$H,0)))</f>
        <v/>
      </c>
      <c r="K28">
        <f>IF($A28="","",IF(NOT(ISBLANK(XLOOKUP($A28,RetirementPlan!$B:$B,RetirementPlan!$N:$N,""))),XLOOKUP($A28,RetirementPlan!$B:$B,RetirementPlan!$N:$N,""),LET(cid,$A28,c,FILTER(LocationPlan!$D:$D,LocationPlan!$C:$C=cid),p,FILTER(LocationPlan!$E:$E,LocationPlan!$C:$C=cid),IFERROR(INDEX(c,MATCH(MAX(p),p,0)),""))))</f>
        <v/>
      </c>
    </row>
    <row r="29">
      <c r="B29">
        <f>IF($A29="","",XLOOKUP($A29,Clients!$A:$A,Clients!$D:$D)&amp;" "&amp;XLOOKUP($A29,Clients!$A:$A,Clients!$E:$E))</f>
        <v/>
      </c>
      <c r="C29">
        <f>IF($A29="","",DATEDIF(XLOOKUP($A29,Clients!$A:$A,Clients!$F:$F),VAL_DATE,"Y"))</f>
        <v/>
      </c>
      <c r="D29">
        <f>IF(OR($A29="",E29=""),"",E29-C29)</f>
        <v/>
      </c>
      <c r="E29">
        <f>IF($A29="","",XLOOKUP($A29,RetirementPlan!$B:$B,RetirementPlan!$C:$C,""))</f>
        <v/>
      </c>
      <c r="F29" s="9">
        <f>IF(OR($A29="",D29=""),"",FV(IF(IFERROR(XLOOKUP($A29,RetirementPlan!$B:$B,RetirementPlan!$K:$K,""),"")="",GROWTH,IFERROR(XLOOKUP($A29,RetirementPlan!$B:$B,RetirementPlan!$K:$K,""),"")),D29,-N(XLOOKUP($A29,RetirementPlan!$B:$B,RetirementPlan!$I:$I,0)),-SUMIFS(Assets!$J:$J,Assets!$B:$B,$A29,Assets!$R:$R,"Yes"),0))</f>
        <v/>
      </c>
      <c r="G29" s="9">
        <f>IF(OR($A29="",I29=""),"",MAX(0,(I29-J29)/IF(IFERROR(XLOOKUP($A29,RetirementPlan!$B:$B,RetirementPlan!$M:$M,""),"")="",SWR,IFERROR(XLOOKUP($A29,RetirementPlan!$B:$B,RetirementPlan!$M:$M,""),""))))</f>
        <v/>
      </c>
      <c r="H29" s="9">
        <f>IF(OR($A29="",F29="",G29=""),"",F29-G29)</f>
        <v/>
      </c>
      <c r="I29" s="9">
        <f>IF($A29="","",XLOOKUP($A29,RetirementPlan!$B:$B,RetirementPlan!$E:$E,""))</f>
        <v/>
      </c>
      <c r="J29" s="9">
        <f>IF($A29="","",N(XLOOKUP($A29,RetirementPlan!$B:$B,RetirementPlan!$G:$G,0))+N(XLOOKUP($A29,RetirementPlan!$B:$B,RetirementPlan!$H:$H,0)))</f>
        <v/>
      </c>
      <c r="K29">
        <f>IF($A29="","",IF(NOT(ISBLANK(XLOOKUP($A29,RetirementPlan!$B:$B,RetirementPlan!$N:$N,""))),XLOOKUP($A29,RetirementPlan!$B:$B,RetirementPlan!$N:$N,""),LET(cid,$A29,c,FILTER(LocationPlan!$D:$D,LocationPlan!$C:$C=cid),p,FILTER(LocationPlan!$E:$E,LocationPlan!$C:$C=cid),IFERROR(INDEX(c,MATCH(MAX(p),p,0)),""))))</f>
        <v/>
      </c>
    </row>
    <row r="30">
      <c r="B30">
        <f>IF($A30="","",XLOOKUP($A30,Clients!$A:$A,Clients!$D:$D)&amp;" "&amp;XLOOKUP($A30,Clients!$A:$A,Clients!$E:$E))</f>
        <v/>
      </c>
      <c r="C30">
        <f>IF($A30="","",DATEDIF(XLOOKUP($A30,Clients!$A:$A,Clients!$F:$F),VAL_DATE,"Y"))</f>
        <v/>
      </c>
      <c r="D30">
        <f>IF(OR($A30="",E30=""),"",E30-C30)</f>
        <v/>
      </c>
      <c r="E30">
        <f>IF($A30="","",XLOOKUP($A30,RetirementPlan!$B:$B,RetirementPlan!$C:$C,""))</f>
        <v/>
      </c>
      <c r="F30" s="9">
        <f>IF(OR($A30="",D30=""),"",FV(IF(IFERROR(XLOOKUP($A30,RetirementPlan!$B:$B,RetirementPlan!$K:$K,""),"")="",GROWTH,IFERROR(XLOOKUP($A30,RetirementPlan!$B:$B,RetirementPlan!$K:$K,""),"")),D30,-N(XLOOKUP($A30,RetirementPlan!$B:$B,RetirementPlan!$I:$I,0)),-SUMIFS(Assets!$J:$J,Assets!$B:$B,$A30,Assets!$R:$R,"Yes"),0))</f>
        <v/>
      </c>
      <c r="G30" s="9">
        <f>IF(OR($A30="",I30=""),"",MAX(0,(I30-J30)/IF(IFERROR(XLOOKUP($A30,RetirementPlan!$B:$B,RetirementPlan!$M:$M,""),"")="",SWR,IFERROR(XLOOKUP($A30,RetirementPlan!$B:$B,RetirementPlan!$M:$M,""),""))))</f>
        <v/>
      </c>
      <c r="H30" s="9">
        <f>IF(OR($A30="",F30="",G30=""),"",F30-G30)</f>
        <v/>
      </c>
      <c r="I30" s="9">
        <f>IF($A30="","",XLOOKUP($A30,RetirementPlan!$B:$B,RetirementPlan!$E:$E,""))</f>
        <v/>
      </c>
      <c r="J30" s="9">
        <f>IF($A30="","",N(XLOOKUP($A30,RetirementPlan!$B:$B,RetirementPlan!$G:$G,0))+N(XLOOKUP($A30,RetirementPlan!$B:$B,RetirementPlan!$H:$H,0)))</f>
        <v/>
      </c>
      <c r="K30">
        <f>IF($A30="","",IF(NOT(ISBLANK(XLOOKUP($A30,RetirementPlan!$B:$B,RetirementPlan!$N:$N,""))),XLOOKUP($A30,RetirementPlan!$B:$B,RetirementPlan!$N:$N,""),LET(cid,$A30,c,FILTER(LocationPlan!$D:$D,LocationPlan!$C:$C=cid),p,FILTER(LocationPlan!$E:$E,LocationPlan!$C:$C=cid),IFERROR(INDEX(c,MATCH(MAX(p),p,0)),""))))</f>
        <v/>
      </c>
    </row>
    <row r="31">
      <c r="B31">
        <f>IF($A31="","",XLOOKUP($A31,Clients!$A:$A,Clients!$D:$D)&amp;" "&amp;XLOOKUP($A31,Clients!$A:$A,Clients!$E:$E))</f>
        <v/>
      </c>
      <c r="C31">
        <f>IF($A31="","",DATEDIF(XLOOKUP($A31,Clients!$A:$A,Clients!$F:$F),VAL_DATE,"Y"))</f>
        <v/>
      </c>
      <c r="D31">
        <f>IF(OR($A31="",E31=""),"",E31-C31)</f>
        <v/>
      </c>
      <c r="E31">
        <f>IF($A31="","",XLOOKUP($A31,RetirementPlan!$B:$B,RetirementPlan!$C:$C,""))</f>
        <v/>
      </c>
      <c r="F31" s="9">
        <f>IF(OR($A31="",D31=""),"",FV(IF(IFERROR(XLOOKUP($A31,RetirementPlan!$B:$B,RetirementPlan!$K:$K,""),"")="",GROWTH,IFERROR(XLOOKUP($A31,RetirementPlan!$B:$B,RetirementPlan!$K:$K,""),"")),D31,-N(XLOOKUP($A31,RetirementPlan!$B:$B,RetirementPlan!$I:$I,0)),-SUMIFS(Assets!$J:$J,Assets!$B:$B,$A31,Assets!$R:$R,"Yes"),0))</f>
        <v/>
      </c>
      <c r="G31" s="9">
        <f>IF(OR($A31="",I31=""),"",MAX(0,(I31-J31)/IF(IFERROR(XLOOKUP($A31,RetirementPlan!$B:$B,RetirementPlan!$M:$M,""),"")="",SWR,IFERROR(XLOOKUP($A31,RetirementPlan!$B:$B,RetirementPlan!$M:$M,""),""))))</f>
        <v/>
      </c>
      <c r="H31" s="9">
        <f>IF(OR($A31="",F31="",G31=""),"",F31-G31)</f>
        <v/>
      </c>
      <c r="I31" s="9">
        <f>IF($A31="","",XLOOKUP($A31,RetirementPlan!$B:$B,RetirementPlan!$E:$E,""))</f>
        <v/>
      </c>
      <c r="J31" s="9">
        <f>IF($A31="","",N(XLOOKUP($A31,RetirementPlan!$B:$B,RetirementPlan!$G:$G,0))+N(XLOOKUP($A31,RetirementPlan!$B:$B,RetirementPlan!$H:$H,0)))</f>
        <v/>
      </c>
      <c r="K31">
        <f>IF($A31="","",IF(NOT(ISBLANK(XLOOKUP($A31,RetirementPlan!$B:$B,RetirementPlan!$N:$N,""))),XLOOKUP($A31,RetirementPlan!$B:$B,RetirementPlan!$N:$N,""),LET(cid,$A31,c,FILTER(LocationPlan!$D:$D,LocationPlan!$C:$C=cid),p,FILTER(LocationPlan!$E:$E,LocationPlan!$C:$C=cid),IFERROR(INDEX(c,MATCH(MAX(p),p,0)),""))))</f>
        <v/>
      </c>
    </row>
    <row r="32">
      <c r="B32">
        <f>IF($A32="","",XLOOKUP($A32,Clients!$A:$A,Clients!$D:$D)&amp;" "&amp;XLOOKUP($A32,Clients!$A:$A,Clients!$E:$E))</f>
        <v/>
      </c>
      <c r="C32">
        <f>IF($A32="","",DATEDIF(XLOOKUP($A32,Clients!$A:$A,Clients!$F:$F),VAL_DATE,"Y"))</f>
        <v/>
      </c>
      <c r="D32">
        <f>IF(OR($A32="",E32=""),"",E32-C32)</f>
        <v/>
      </c>
      <c r="E32">
        <f>IF($A32="","",XLOOKUP($A32,RetirementPlan!$B:$B,RetirementPlan!$C:$C,""))</f>
        <v/>
      </c>
      <c r="F32" s="9">
        <f>IF(OR($A32="",D32=""),"",FV(IF(IFERROR(XLOOKUP($A32,RetirementPlan!$B:$B,RetirementPlan!$K:$K,""),"")="",GROWTH,IFERROR(XLOOKUP($A32,RetirementPlan!$B:$B,RetirementPlan!$K:$K,""),"")),D32,-N(XLOOKUP($A32,RetirementPlan!$B:$B,RetirementPlan!$I:$I,0)),-SUMIFS(Assets!$J:$J,Assets!$B:$B,$A32,Assets!$R:$R,"Yes"),0))</f>
        <v/>
      </c>
      <c r="G32" s="9">
        <f>IF(OR($A32="",I32=""),"",MAX(0,(I32-J32)/IF(IFERROR(XLOOKUP($A32,RetirementPlan!$B:$B,RetirementPlan!$M:$M,""),"")="",SWR,IFERROR(XLOOKUP($A32,RetirementPlan!$B:$B,RetirementPlan!$M:$M,""),""))))</f>
        <v/>
      </c>
      <c r="H32" s="9">
        <f>IF(OR($A32="",F32="",G32=""),"",F32-G32)</f>
        <v/>
      </c>
      <c r="I32" s="9">
        <f>IF($A32="","",XLOOKUP($A32,RetirementPlan!$B:$B,RetirementPlan!$E:$E,""))</f>
        <v/>
      </c>
      <c r="J32" s="9">
        <f>IF($A32="","",N(XLOOKUP($A32,RetirementPlan!$B:$B,RetirementPlan!$G:$G,0))+N(XLOOKUP($A32,RetirementPlan!$B:$B,RetirementPlan!$H:$H,0)))</f>
        <v/>
      </c>
      <c r="K32">
        <f>IF($A32="","",IF(NOT(ISBLANK(XLOOKUP($A32,RetirementPlan!$B:$B,RetirementPlan!$N:$N,""))),XLOOKUP($A32,RetirementPlan!$B:$B,RetirementPlan!$N:$N,""),LET(cid,$A32,c,FILTER(LocationPlan!$D:$D,LocationPlan!$C:$C=cid),p,FILTER(LocationPlan!$E:$E,LocationPlan!$C:$C=cid),IFERROR(INDEX(c,MATCH(MAX(p),p,0)),""))))</f>
        <v/>
      </c>
    </row>
    <row r="33">
      <c r="B33">
        <f>IF($A33="","",XLOOKUP($A33,Clients!$A:$A,Clients!$D:$D)&amp;" "&amp;XLOOKUP($A33,Clients!$A:$A,Clients!$E:$E))</f>
        <v/>
      </c>
      <c r="C33">
        <f>IF($A33="","",DATEDIF(XLOOKUP($A33,Clients!$A:$A,Clients!$F:$F),VAL_DATE,"Y"))</f>
        <v/>
      </c>
      <c r="D33">
        <f>IF(OR($A33="",E33=""),"",E33-C33)</f>
        <v/>
      </c>
      <c r="E33">
        <f>IF($A33="","",XLOOKUP($A33,RetirementPlan!$B:$B,RetirementPlan!$C:$C,""))</f>
        <v/>
      </c>
      <c r="F33" s="9">
        <f>IF(OR($A33="",D33=""),"",FV(IF(IFERROR(XLOOKUP($A33,RetirementPlan!$B:$B,RetirementPlan!$K:$K,""),"")="",GROWTH,IFERROR(XLOOKUP($A33,RetirementPlan!$B:$B,RetirementPlan!$K:$K,""),"")),D33,-N(XLOOKUP($A33,RetirementPlan!$B:$B,RetirementPlan!$I:$I,0)),-SUMIFS(Assets!$J:$J,Assets!$B:$B,$A33,Assets!$R:$R,"Yes"),0))</f>
        <v/>
      </c>
      <c r="G33" s="9">
        <f>IF(OR($A33="",I33=""),"",MAX(0,(I33-J33)/IF(IFERROR(XLOOKUP($A33,RetirementPlan!$B:$B,RetirementPlan!$M:$M,""),"")="",SWR,IFERROR(XLOOKUP($A33,RetirementPlan!$B:$B,RetirementPlan!$M:$M,""),""))))</f>
        <v/>
      </c>
      <c r="H33" s="9">
        <f>IF(OR($A33="",F33="",G33=""),"",F33-G33)</f>
        <v/>
      </c>
      <c r="I33" s="9">
        <f>IF($A33="","",XLOOKUP($A33,RetirementPlan!$B:$B,RetirementPlan!$E:$E,""))</f>
        <v/>
      </c>
      <c r="J33" s="9">
        <f>IF($A33="","",N(XLOOKUP($A33,RetirementPlan!$B:$B,RetirementPlan!$G:$G,0))+N(XLOOKUP($A33,RetirementPlan!$B:$B,RetirementPlan!$H:$H,0)))</f>
        <v/>
      </c>
      <c r="K33">
        <f>IF($A33="","",IF(NOT(ISBLANK(XLOOKUP($A33,RetirementPlan!$B:$B,RetirementPlan!$N:$N,""))),XLOOKUP($A33,RetirementPlan!$B:$B,RetirementPlan!$N:$N,""),LET(cid,$A33,c,FILTER(LocationPlan!$D:$D,LocationPlan!$C:$C=cid),p,FILTER(LocationPlan!$E:$E,LocationPlan!$C:$C=cid),IFERROR(INDEX(c,MATCH(MAX(p),p,0)),""))))</f>
        <v/>
      </c>
    </row>
    <row r="34">
      <c r="B34">
        <f>IF($A34="","",XLOOKUP($A34,Clients!$A:$A,Clients!$D:$D)&amp;" "&amp;XLOOKUP($A34,Clients!$A:$A,Clients!$E:$E))</f>
        <v/>
      </c>
      <c r="C34">
        <f>IF($A34="","",DATEDIF(XLOOKUP($A34,Clients!$A:$A,Clients!$F:$F),VAL_DATE,"Y"))</f>
        <v/>
      </c>
      <c r="D34">
        <f>IF(OR($A34="",E34=""),"",E34-C34)</f>
        <v/>
      </c>
      <c r="E34">
        <f>IF($A34="","",XLOOKUP($A34,RetirementPlan!$B:$B,RetirementPlan!$C:$C,""))</f>
        <v/>
      </c>
      <c r="F34" s="9">
        <f>IF(OR($A34="",D34=""),"",FV(IF(IFERROR(XLOOKUP($A34,RetirementPlan!$B:$B,RetirementPlan!$K:$K,""),"")="",GROWTH,IFERROR(XLOOKUP($A34,RetirementPlan!$B:$B,RetirementPlan!$K:$K,""),"")),D34,-N(XLOOKUP($A34,RetirementPlan!$B:$B,RetirementPlan!$I:$I,0)),-SUMIFS(Assets!$J:$J,Assets!$B:$B,$A34,Assets!$R:$R,"Yes"),0))</f>
        <v/>
      </c>
      <c r="G34" s="9">
        <f>IF(OR($A34="",I34=""),"",MAX(0,(I34-J34)/IF(IFERROR(XLOOKUP($A34,RetirementPlan!$B:$B,RetirementPlan!$M:$M,""),"")="",SWR,IFERROR(XLOOKUP($A34,RetirementPlan!$B:$B,RetirementPlan!$M:$M,""),""))))</f>
        <v/>
      </c>
      <c r="H34" s="9">
        <f>IF(OR($A34="",F34="",G34=""),"",F34-G34)</f>
        <v/>
      </c>
      <c r="I34" s="9">
        <f>IF($A34="","",XLOOKUP($A34,RetirementPlan!$B:$B,RetirementPlan!$E:$E,""))</f>
        <v/>
      </c>
      <c r="J34" s="9">
        <f>IF($A34="","",N(XLOOKUP($A34,RetirementPlan!$B:$B,RetirementPlan!$G:$G,0))+N(XLOOKUP($A34,RetirementPlan!$B:$B,RetirementPlan!$H:$H,0)))</f>
        <v/>
      </c>
      <c r="K34">
        <f>IF($A34="","",IF(NOT(ISBLANK(XLOOKUP($A34,RetirementPlan!$B:$B,RetirementPlan!$N:$N,""))),XLOOKUP($A34,RetirementPlan!$B:$B,RetirementPlan!$N:$N,""),LET(cid,$A34,c,FILTER(LocationPlan!$D:$D,LocationPlan!$C:$C=cid),p,FILTER(LocationPlan!$E:$E,LocationPlan!$C:$C=cid),IFERROR(INDEX(c,MATCH(MAX(p),p,0)),""))))</f>
        <v/>
      </c>
    </row>
    <row r="35">
      <c r="B35">
        <f>IF($A35="","",XLOOKUP($A35,Clients!$A:$A,Clients!$D:$D)&amp;" "&amp;XLOOKUP($A35,Clients!$A:$A,Clients!$E:$E))</f>
        <v/>
      </c>
      <c r="C35">
        <f>IF($A35="","",DATEDIF(XLOOKUP($A35,Clients!$A:$A,Clients!$F:$F),VAL_DATE,"Y"))</f>
        <v/>
      </c>
      <c r="D35">
        <f>IF(OR($A35="",E35=""),"",E35-C35)</f>
        <v/>
      </c>
      <c r="E35">
        <f>IF($A35="","",XLOOKUP($A35,RetirementPlan!$B:$B,RetirementPlan!$C:$C,""))</f>
        <v/>
      </c>
      <c r="F35" s="9">
        <f>IF(OR($A35="",D35=""),"",FV(IF(IFERROR(XLOOKUP($A35,RetirementPlan!$B:$B,RetirementPlan!$K:$K,""),"")="",GROWTH,IFERROR(XLOOKUP($A35,RetirementPlan!$B:$B,RetirementPlan!$K:$K,""),"")),D35,-N(XLOOKUP($A35,RetirementPlan!$B:$B,RetirementPlan!$I:$I,0)),-SUMIFS(Assets!$J:$J,Assets!$B:$B,$A35,Assets!$R:$R,"Yes"),0))</f>
        <v/>
      </c>
      <c r="G35" s="9">
        <f>IF(OR($A35="",I35=""),"",MAX(0,(I35-J35)/IF(IFERROR(XLOOKUP($A35,RetirementPlan!$B:$B,RetirementPlan!$M:$M,""),"")="",SWR,IFERROR(XLOOKUP($A35,RetirementPlan!$B:$B,RetirementPlan!$M:$M,""),""))))</f>
        <v/>
      </c>
      <c r="H35" s="9">
        <f>IF(OR($A35="",F35="",G35=""),"",F35-G35)</f>
        <v/>
      </c>
      <c r="I35" s="9">
        <f>IF($A35="","",XLOOKUP($A35,RetirementPlan!$B:$B,RetirementPlan!$E:$E,""))</f>
        <v/>
      </c>
      <c r="J35" s="9">
        <f>IF($A35="","",N(XLOOKUP($A35,RetirementPlan!$B:$B,RetirementPlan!$G:$G,0))+N(XLOOKUP($A35,RetirementPlan!$B:$B,RetirementPlan!$H:$H,0)))</f>
        <v/>
      </c>
      <c r="K35">
        <f>IF($A35="","",IF(NOT(ISBLANK(XLOOKUP($A35,RetirementPlan!$B:$B,RetirementPlan!$N:$N,""))),XLOOKUP($A35,RetirementPlan!$B:$B,RetirementPlan!$N:$N,""),LET(cid,$A35,c,FILTER(LocationPlan!$D:$D,LocationPlan!$C:$C=cid),p,FILTER(LocationPlan!$E:$E,LocationPlan!$C:$C=cid),IFERROR(INDEX(c,MATCH(MAX(p),p,0)),""))))</f>
        <v/>
      </c>
    </row>
    <row r="36">
      <c r="B36">
        <f>IF($A36="","",XLOOKUP($A36,Clients!$A:$A,Clients!$D:$D)&amp;" "&amp;XLOOKUP($A36,Clients!$A:$A,Clients!$E:$E))</f>
        <v/>
      </c>
      <c r="C36">
        <f>IF($A36="","",DATEDIF(XLOOKUP($A36,Clients!$A:$A,Clients!$F:$F),VAL_DATE,"Y"))</f>
        <v/>
      </c>
      <c r="D36">
        <f>IF(OR($A36="",E36=""),"",E36-C36)</f>
        <v/>
      </c>
      <c r="E36">
        <f>IF($A36="","",XLOOKUP($A36,RetirementPlan!$B:$B,RetirementPlan!$C:$C,""))</f>
        <v/>
      </c>
      <c r="F36" s="9">
        <f>IF(OR($A36="",D36=""),"",FV(IF(IFERROR(XLOOKUP($A36,RetirementPlan!$B:$B,RetirementPlan!$K:$K,""),"")="",GROWTH,IFERROR(XLOOKUP($A36,RetirementPlan!$B:$B,RetirementPlan!$K:$K,""),"")),D36,-N(XLOOKUP($A36,RetirementPlan!$B:$B,RetirementPlan!$I:$I,0)),-SUMIFS(Assets!$J:$J,Assets!$B:$B,$A36,Assets!$R:$R,"Yes"),0))</f>
        <v/>
      </c>
      <c r="G36" s="9">
        <f>IF(OR($A36="",I36=""),"",MAX(0,(I36-J36)/IF(IFERROR(XLOOKUP($A36,RetirementPlan!$B:$B,RetirementPlan!$M:$M,""),"")="",SWR,IFERROR(XLOOKUP($A36,RetirementPlan!$B:$B,RetirementPlan!$M:$M,""),""))))</f>
        <v/>
      </c>
      <c r="H36" s="9">
        <f>IF(OR($A36="",F36="",G36=""),"",F36-G36)</f>
        <v/>
      </c>
      <c r="I36" s="9">
        <f>IF($A36="","",XLOOKUP($A36,RetirementPlan!$B:$B,RetirementPlan!$E:$E,""))</f>
        <v/>
      </c>
      <c r="J36" s="9">
        <f>IF($A36="","",N(XLOOKUP($A36,RetirementPlan!$B:$B,RetirementPlan!$G:$G,0))+N(XLOOKUP($A36,RetirementPlan!$B:$B,RetirementPlan!$H:$H,0)))</f>
        <v/>
      </c>
      <c r="K36">
        <f>IF($A36="","",IF(NOT(ISBLANK(XLOOKUP($A36,RetirementPlan!$B:$B,RetirementPlan!$N:$N,""))),XLOOKUP($A36,RetirementPlan!$B:$B,RetirementPlan!$N:$N,""),LET(cid,$A36,c,FILTER(LocationPlan!$D:$D,LocationPlan!$C:$C=cid),p,FILTER(LocationPlan!$E:$E,LocationPlan!$C:$C=cid),IFERROR(INDEX(c,MATCH(MAX(p),p,0)),""))))</f>
        <v/>
      </c>
    </row>
    <row r="37">
      <c r="B37">
        <f>IF($A37="","",XLOOKUP($A37,Clients!$A:$A,Clients!$D:$D)&amp;" "&amp;XLOOKUP($A37,Clients!$A:$A,Clients!$E:$E))</f>
        <v/>
      </c>
      <c r="C37">
        <f>IF($A37="","",DATEDIF(XLOOKUP($A37,Clients!$A:$A,Clients!$F:$F),VAL_DATE,"Y"))</f>
        <v/>
      </c>
      <c r="D37">
        <f>IF(OR($A37="",E37=""),"",E37-C37)</f>
        <v/>
      </c>
      <c r="E37">
        <f>IF($A37="","",XLOOKUP($A37,RetirementPlan!$B:$B,RetirementPlan!$C:$C,""))</f>
        <v/>
      </c>
      <c r="F37" s="9">
        <f>IF(OR($A37="",D37=""),"",FV(IF(IFERROR(XLOOKUP($A37,RetirementPlan!$B:$B,RetirementPlan!$K:$K,""),"")="",GROWTH,IFERROR(XLOOKUP($A37,RetirementPlan!$B:$B,RetirementPlan!$K:$K,""),"")),D37,-N(XLOOKUP($A37,RetirementPlan!$B:$B,RetirementPlan!$I:$I,0)),-SUMIFS(Assets!$J:$J,Assets!$B:$B,$A37,Assets!$R:$R,"Yes"),0))</f>
        <v/>
      </c>
      <c r="G37" s="9">
        <f>IF(OR($A37="",I37=""),"",MAX(0,(I37-J37)/IF(IFERROR(XLOOKUP($A37,RetirementPlan!$B:$B,RetirementPlan!$M:$M,""),"")="",SWR,IFERROR(XLOOKUP($A37,RetirementPlan!$B:$B,RetirementPlan!$M:$M,""),""))))</f>
        <v/>
      </c>
      <c r="H37" s="9">
        <f>IF(OR($A37="",F37="",G37=""),"",F37-G37)</f>
        <v/>
      </c>
      <c r="I37" s="9">
        <f>IF($A37="","",XLOOKUP($A37,RetirementPlan!$B:$B,RetirementPlan!$E:$E,""))</f>
        <v/>
      </c>
      <c r="J37" s="9">
        <f>IF($A37="","",N(XLOOKUP($A37,RetirementPlan!$B:$B,RetirementPlan!$G:$G,0))+N(XLOOKUP($A37,RetirementPlan!$B:$B,RetirementPlan!$H:$H,0)))</f>
        <v/>
      </c>
      <c r="K37">
        <f>IF($A37="","",IF(NOT(ISBLANK(XLOOKUP($A37,RetirementPlan!$B:$B,RetirementPlan!$N:$N,""))),XLOOKUP($A37,RetirementPlan!$B:$B,RetirementPlan!$N:$N,""),LET(cid,$A37,c,FILTER(LocationPlan!$D:$D,LocationPlan!$C:$C=cid),p,FILTER(LocationPlan!$E:$E,LocationPlan!$C:$C=cid),IFERROR(INDEX(c,MATCH(MAX(p),p,0)),""))))</f>
        <v/>
      </c>
    </row>
    <row r="38">
      <c r="B38">
        <f>IF($A38="","",XLOOKUP($A38,Clients!$A:$A,Clients!$D:$D)&amp;" "&amp;XLOOKUP($A38,Clients!$A:$A,Clients!$E:$E))</f>
        <v/>
      </c>
      <c r="C38">
        <f>IF($A38="","",DATEDIF(XLOOKUP($A38,Clients!$A:$A,Clients!$F:$F),VAL_DATE,"Y"))</f>
        <v/>
      </c>
      <c r="D38">
        <f>IF(OR($A38="",E38=""),"",E38-C38)</f>
        <v/>
      </c>
      <c r="E38">
        <f>IF($A38="","",XLOOKUP($A38,RetirementPlan!$B:$B,RetirementPlan!$C:$C,""))</f>
        <v/>
      </c>
      <c r="F38" s="9">
        <f>IF(OR($A38="",D38=""),"",FV(IF(IFERROR(XLOOKUP($A38,RetirementPlan!$B:$B,RetirementPlan!$K:$K,""),"")="",GROWTH,IFERROR(XLOOKUP($A38,RetirementPlan!$B:$B,RetirementPlan!$K:$K,""),"")),D38,-N(XLOOKUP($A38,RetirementPlan!$B:$B,RetirementPlan!$I:$I,0)),-SUMIFS(Assets!$J:$J,Assets!$B:$B,$A38,Assets!$R:$R,"Yes"),0))</f>
        <v/>
      </c>
      <c r="G38" s="9">
        <f>IF(OR($A38="",I38=""),"",MAX(0,(I38-J38)/IF(IFERROR(XLOOKUP($A38,RetirementPlan!$B:$B,RetirementPlan!$M:$M,""),"")="",SWR,IFERROR(XLOOKUP($A38,RetirementPlan!$B:$B,RetirementPlan!$M:$M,""),""))))</f>
        <v/>
      </c>
      <c r="H38" s="9">
        <f>IF(OR($A38="",F38="",G38=""),"",F38-G38)</f>
        <v/>
      </c>
      <c r="I38" s="9">
        <f>IF($A38="","",XLOOKUP($A38,RetirementPlan!$B:$B,RetirementPlan!$E:$E,""))</f>
        <v/>
      </c>
      <c r="J38" s="9">
        <f>IF($A38="","",N(XLOOKUP($A38,RetirementPlan!$B:$B,RetirementPlan!$G:$G,0))+N(XLOOKUP($A38,RetirementPlan!$B:$B,RetirementPlan!$H:$H,0)))</f>
        <v/>
      </c>
      <c r="K38">
        <f>IF($A38="","",IF(NOT(ISBLANK(XLOOKUP($A38,RetirementPlan!$B:$B,RetirementPlan!$N:$N,""))),XLOOKUP($A38,RetirementPlan!$B:$B,RetirementPlan!$N:$N,""),LET(cid,$A38,c,FILTER(LocationPlan!$D:$D,LocationPlan!$C:$C=cid),p,FILTER(LocationPlan!$E:$E,LocationPlan!$C:$C=cid),IFERROR(INDEX(c,MATCH(MAX(p),p,0)),""))))</f>
        <v/>
      </c>
    </row>
    <row r="39">
      <c r="B39">
        <f>IF($A39="","",XLOOKUP($A39,Clients!$A:$A,Clients!$D:$D)&amp;" "&amp;XLOOKUP($A39,Clients!$A:$A,Clients!$E:$E))</f>
        <v/>
      </c>
      <c r="C39">
        <f>IF($A39="","",DATEDIF(XLOOKUP($A39,Clients!$A:$A,Clients!$F:$F),VAL_DATE,"Y"))</f>
        <v/>
      </c>
      <c r="D39">
        <f>IF(OR($A39="",E39=""),"",E39-C39)</f>
        <v/>
      </c>
      <c r="E39">
        <f>IF($A39="","",XLOOKUP($A39,RetirementPlan!$B:$B,RetirementPlan!$C:$C,""))</f>
        <v/>
      </c>
      <c r="F39" s="9">
        <f>IF(OR($A39="",D39=""),"",FV(IF(IFERROR(XLOOKUP($A39,RetirementPlan!$B:$B,RetirementPlan!$K:$K,""),"")="",GROWTH,IFERROR(XLOOKUP($A39,RetirementPlan!$B:$B,RetirementPlan!$K:$K,""),"")),D39,-N(XLOOKUP($A39,RetirementPlan!$B:$B,RetirementPlan!$I:$I,0)),-SUMIFS(Assets!$J:$J,Assets!$B:$B,$A39,Assets!$R:$R,"Yes"),0))</f>
        <v/>
      </c>
      <c r="G39" s="9">
        <f>IF(OR($A39="",I39=""),"",MAX(0,(I39-J39)/IF(IFERROR(XLOOKUP($A39,RetirementPlan!$B:$B,RetirementPlan!$M:$M,""),"")="",SWR,IFERROR(XLOOKUP($A39,RetirementPlan!$B:$B,RetirementPlan!$M:$M,""),""))))</f>
        <v/>
      </c>
      <c r="H39" s="9">
        <f>IF(OR($A39="",F39="",G39=""),"",F39-G39)</f>
        <v/>
      </c>
      <c r="I39" s="9">
        <f>IF($A39="","",XLOOKUP($A39,RetirementPlan!$B:$B,RetirementPlan!$E:$E,""))</f>
        <v/>
      </c>
      <c r="J39" s="9">
        <f>IF($A39="","",N(XLOOKUP($A39,RetirementPlan!$B:$B,RetirementPlan!$G:$G,0))+N(XLOOKUP($A39,RetirementPlan!$B:$B,RetirementPlan!$H:$H,0)))</f>
        <v/>
      </c>
      <c r="K39">
        <f>IF($A39="","",IF(NOT(ISBLANK(XLOOKUP($A39,RetirementPlan!$B:$B,RetirementPlan!$N:$N,""))),XLOOKUP($A39,RetirementPlan!$B:$B,RetirementPlan!$N:$N,""),LET(cid,$A39,c,FILTER(LocationPlan!$D:$D,LocationPlan!$C:$C=cid),p,FILTER(LocationPlan!$E:$E,LocationPlan!$C:$C=cid),IFERROR(INDEX(c,MATCH(MAX(p),p,0)),""))))</f>
        <v/>
      </c>
    </row>
    <row r="40">
      <c r="B40">
        <f>IF($A40="","",XLOOKUP($A40,Clients!$A:$A,Clients!$D:$D)&amp;" "&amp;XLOOKUP($A40,Clients!$A:$A,Clients!$E:$E))</f>
        <v/>
      </c>
      <c r="C40">
        <f>IF($A40="","",DATEDIF(XLOOKUP($A40,Clients!$A:$A,Clients!$F:$F),VAL_DATE,"Y"))</f>
        <v/>
      </c>
      <c r="D40">
        <f>IF(OR($A40="",E40=""),"",E40-C40)</f>
        <v/>
      </c>
      <c r="E40">
        <f>IF($A40="","",XLOOKUP($A40,RetirementPlan!$B:$B,RetirementPlan!$C:$C,""))</f>
        <v/>
      </c>
      <c r="F40" s="9">
        <f>IF(OR($A40="",D40=""),"",FV(IF(IFERROR(XLOOKUP($A40,RetirementPlan!$B:$B,RetirementPlan!$K:$K,""),"")="",GROWTH,IFERROR(XLOOKUP($A40,RetirementPlan!$B:$B,RetirementPlan!$K:$K,""),"")),D40,-N(XLOOKUP($A40,RetirementPlan!$B:$B,RetirementPlan!$I:$I,0)),-SUMIFS(Assets!$J:$J,Assets!$B:$B,$A40,Assets!$R:$R,"Yes"),0))</f>
        <v/>
      </c>
      <c r="G40" s="9">
        <f>IF(OR($A40="",I40=""),"",MAX(0,(I40-J40)/IF(IFERROR(XLOOKUP($A40,RetirementPlan!$B:$B,RetirementPlan!$M:$M,""),"")="",SWR,IFERROR(XLOOKUP($A40,RetirementPlan!$B:$B,RetirementPlan!$M:$M,""),""))))</f>
        <v/>
      </c>
      <c r="H40" s="9">
        <f>IF(OR($A40="",F40="",G40=""),"",F40-G40)</f>
        <v/>
      </c>
      <c r="I40" s="9">
        <f>IF($A40="","",XLOOKUP($A40,RetirementPlan!$B:$B,RetirementPlan!$E:$E,""))</f>
        <v/>
      </c>
      <c r="J40" s="9">
        <f>IF($A40="","",N(XLOOKUP($A40,RetirementPlan!$B:$B,RetirementPlan!$G:$G,0))+N(XLOOKUP($A40,RetirementPlan!$B:$B,RetirementPlan!$H:$H,0)))</f>
        <v/>
      </c>
      <c r="K40">
        <f>IF($A40="","",IF(NOT(ISBLANK(XLOOKUP($A40,RetirementPlan!$B:$B,RetirementPlan!$N:$N,""))),XLOOKUP($A40,RetirementPlan!$B:$B,RetirementPlan!$N:$N,""),LET(cid,$A40,c,FILTER(LocationPlan!$D:$D,LocationPlan!$C:$C=cid),p,FILTER(LocationPlan!$E:$E,LocationPlan!$C:$C=cid),IFERROR(INDEX(c,MATCH(MAX(p),p,0)),""))))</f>
        <v/>
      </c>
    </row>
    <row r="41">
      <c r="B41">
        <f>IF($A41="","",XLOOKUP($A41,Clients!$A:$A,Clients!$D:$D)&amp;" "&amp;XLOOKUP($A41,Clients!$A:$A,Clients!$E:$E))</f>
        <v/>
      </c>
      <c r="C41">
        <f>IF($A41="","",DATEDIF(XLOOKUP($A41,Clients!$A:$A,Clients!$F:$F),VAL_DATE,"Y"))</f>
        <v/>
      </c>
      <c r="D41">
        <f>IF(OR($A41="",E41=""),"",E41-C41)</f>
        <v/>
      </c>
      <c r="E41">
        <f>IF($A41="","",XLOOKUP($A41,RetirementPlan!$B:$B,RetirementPlan!$C:$C,""))</f>
        <v/>
      </c>
      <c r="F41" s="9">
        <f>IF(OR($A41="",D41=""),"",FV(IF(IFERROR(XLOOKUP($A41,RetirementPlan!$B:$B,RetirementPlan!$K:$K,""),"")="",GROWTH,IFERROR(XLOOKUP($A41,RetirementPlan!$B:$B,RetirementPlan!$K:$K,""),"")),D41,-N(XLOOKUP($A41,RetirementPlan!$B:$B,RetirementPlan!$I:$I,0)),-SUMIFS(Assets!$J:$J,Assets!$B:$B,$A41,Assets!$R:$R,"Yes"),0))</f>
        <v/>
      </c>
      <c r="G41" s="9">
        <f>IF(OR($A41="",I41=""),"",MAX(0,(I41-J41)/IF(IFERROR(XLOOKUP($A41,RetirementPlan!$B:$B,RetirementPlan!$M:$M,""),"")="",SWR,IFERROR(XLOOKUP($A41,RetirementPlan!$B:$B,RetirementPlan!$M:$M,""),""))))</f>
        <v/>
      </c>
      <c r="H41" s="9">
        <f>IF(OR($A41="",F41="",G41=""),"",F41-G41)</f>
        <v/>
      </c>
      <c r="I41" s="9">
        <f>IF($A41="","",XLOOKUP($A41,RetirementPlan!$B:$B,RetirementPlan!$E:$E,""))</f>
        <v/>
      </c>
      <c r="J41" s="9">
        <f>IF($A41="","",N(XLOOKUP($A41,RetirementPlan!$B:$B,RetirementPlan!$G:$G,0))+N(XLOOKUP($A41,RetirementPlan!$B:$B,RetirementPlan!$H:$H,0)))</f>
        <v/>
      </c>
      <c r="K41">
        <f>IF($A41="","",IF(NOT(ISBLANK(XLOOKUP($A41,RetirementPlan!$B:$B,RetirementPlan!$N:$N,""))),XLOOKUP($A41,RetirementPlan!$B:$B,RetirementPlan!$N:$N,""),LET(cid,$A41,c,FILTER(LocationPlan!$D:$D,LocationPlan!$C:$C=cid),p,FILTER(LocationPlan!$E:$E,LocationPlan!$C:$C=cid),IFERROR(INDEX(c,MATCH(MAX(p),p,0)),""))))</f>
        <v/>
      </c>
    </row>
    <row r="42">
      <c r="B42">
        <f>IF($A42="","",XLOOKUP($A42,Clients!$A:$A,Clients!$D:$D)&amp;" "&amp;XLOOKUP($A42,Clients!$A:$A,Clients!$E:$E))</f>
        <v/>
      </c>
      <c r="C42">
        <f>IF($A42="","",DATEDIF(XLOOKUP($A42,Clients!$A:$A,Clients!$F:$F),VAL_DATE,"Y"))</f>
        <v/>
      </c>
      <c r="D42">
        <f>IF(OR($A42="",E42=""),"",E42-C42)</f>
        <v/>
      </c>
      <c r="E42">
        <f>IF($A42="","",XLOOKUP($A42,RetirementPlan!$B:$B,RetirementPlan!$C:$C,""))</f>
        <v/>
      </c>
      <c r="F42" s="9">
        <f>IF(OR($A42="",D42=""),"",FV(IF(IFERROR(XLOOKUP($A42,RetirementPlan!$B:$B,RetirementPlan!$K:$K,""),"")="",GROWTH,IFERROR(XLOOKUP($A42,RetirementPlan!$B:$B,RetirementPlan!$K:$K,""),"")),D42,-N(XLOOKUP($A42,RetirementPlan!$B:$B,RetirementPlan!$I:$I,0)),-SUMIFS(Assets!$J:$J,Assets!$B:$B,$A42,Assets!$R:$R,"Yes"),0))</f>
        <v/>
      </c>
      <c r="G42" s="9">
        <f>IF(OR($A42="",I42=""),"",MAX(0,(I42-J42)/IF(IFERROR(XLOOKUP($A42,RetirementPlan!$B:$B,RetirementPlan!$M:$M,""),"")="",SWR,IFERROR(XLOOKUP($A42,RetirementPlan!$B:$B,RetirementPlan!$M:$M,""),""))))</f>
        <v/>
      </c>
      <c r="H42" s="9">
        <f>IF(OR($A42="",F42="",G42=""),"",F42-G42)</f>
        <v/>
      </c>
      <c r="I42" s="9">
        <f>IF($A42="","",XLOOKUP($A42,RetirementPlan!$B:$B,RetirementPlan!$E:$E,""))</f>
        <v/>
      </c>
      <c r="J42" s="9">
        <f>IF($A42="","",N(XLOOKUP($A42,RetirementPlan!$B:$B,RetirementPlan!$G:$G,0))+N(XLOOKUP($A42,RetirementPlan!$B:$B,RetirementPlan!$H:$H,0)))</f>
        <v/>
      </c>
      <c r="K42">
        <f>IF($A42="","",IF(NOT(ISBLANK(XLOOKUP($A42,RetirementPlan!$B:$B,RetirementPlan!$N:$N,""))),XLOOKUP($A42,RetirementPlan!$B:$B,RetirementPlan!$N:$N,""),LET(cid,$A42,c,FILTER(LocationPlan!$D:$D,LocationPlan!$C:$C=cid),p,FILTER(LocationPlan!$E:$E,LocationPlan!$C:$C=cid),IFERROR(INDEX(c,MATCH(MAX(p),p,0)),""))))</f>
        <v/>
      </c>
    </row>
    <row r="43">
      <c r="B43">
        <f>IF($A43="","",XLOOKUP($A43,Clients!$A:$A,Clients!$D:$D)&amp;" "&amp;XLOOKUP($A43,Clients!$A:$A,Clients!$E:$E))</f>
        <v/>
      </c>
      <c r="C43">
        <f>IF($A43="","",DATEDIF(XLOOKUP($A43,Clients!$A:$A,Clients!$F:$F),VAL_DATE,"Y"))</f>
        <v/>
      </c>
      <c r="D43">
        <f>IF(OR($A43="",E43=""),"",E43-C43)</f>
        <v/>
      </c>
      <c r="E43">
        <f>IF($A43="","",XLOOKUP($A43,RetirementPlan!$B:$B,RetirementPlan!$C:$C,""))</f>
        <v/>
      </c>
      <c r="F43" s="9">
        <f>IF(OR($A43="",D43=""),"",FV(IF(IFERROR(XLOOKUP($A43,RetirementPlan!$B:$B,RetirementPlan!$K:$K,""),"")="",GROWTH,IFERROR(XLOOKUP($A43,RetirementPlan!$B:$B,RetirementPlan!$K:$K,""),"")),D43,-N(XLOOKUP($A43,RetirementPlan!$B:$B,RetirementPlan!$I:$I,0)),-SUMIFS(Assets!$J:$J,Assets!$B:$B,$A43,Assets!$R:$R,"Yes"),0))</f>
        <v/>
      </c>
      <c r="G43" s="9">
        <f>IF(OR($A43="",I43=""),"",MAX(0,(I43-J43)/IF(IFERROR(XLOOKUP($A43,RetirementPlan!$B:$B,RetirementPlan!$M:$M,""),"")="",SWR,IFERROR(XLOOKUP($A43,RetirementPlan!$B:$B,RetirementPlan!$M:$M,""),""))))</f>
        <v/>
      </c>
      <c r="H43" s="9">
        <f>IF(OR($A43="",F43="",G43=""),"",F43-G43)</f>
        <v/>
      </c>
      <c r="I43" s="9">
        <f>IF($A43="","",XLOOKUP($A43,RetirementPlan!$B:$B,RetirementPlan!$E:$E,""))</f>
        <v/>
      </c>
      <c r="J43" s="9">
        <f>IF($A43="","",N(XLOOKUP($A43,RetirementPlan!$B:$B,RetirementPlan!$G:$G,0))+N(XLOOKUP($A43,RetirementPlan!$B:$B,RetirementPlan!$H:$H,0)))</f>
        <v/>
      </c>
      <c r="K43">
        <f>IF($A43="","",IF(NOT(ISBLANK(XLOOKUP($A43,RetirementPlan!$B:$B,RetirementPlan!$N:$N,""))),XLOOKUP($A43,RetirementPlan!$B:$B,RetirementPlan!$N:$N,""),LET(cid,$A43,c,FILTER(LocationPlan!$D:$D,LocationPlan!$C:$C=cid),p,FILTER(LocationPlan!$E:$E,LocationPlan!$C:$C=cid),IFERROR(INDEX(c,MATCH(MAX(p),p,0)),""))))</f>
        <v/>
      </c>
    </row>
    <row r="44">
      <c r="B44">
        <f>IF($A44="","",XLOOKUP($A44,Clients!$A:$A,Clients!$D:$D)&amp;" "&amp;XLOOKUP($A44,Clients!$A:$A,Clients!$E:$E))</f>
        <v/>
      </c>
      <c r="C44">
        <f>IF($A44="","",DATEDIF(XLOOKUP($A44,Clients!$A:$A,Clients!$F:$F),VAL_DATE,"Y"))</f>
        <v/>
      </c>
      <c r="D44">
        <f>IF(OR($A44="",E44=""),"",E44-C44)</f>
        <v/>
      </c>
      <c r="E44">
        <f>IF($A44="","",XLOOKUP($A44,RetirementPlan!$B:$B,RetirementPlan!$C:$C,""))</f>
        <v/>
      </c>
      <c r="F44" s="9">
        <f>IF(OR($A44="",D44=""),"",FV(IF(IFERROR(XLOOKUP($A44,RetirementPlan!$B:$B,RetirementPlan!$K:$K,""),"")="",GROWTH,IFERROR(XLOOKUP($A44,RetirementPlan!$B:$B,RetirementPlan!$K:$K,""),"")),D44,-N(XLOOKUP($A44,RetirementPlan!$B:$B,RetirementPlan!$I:$I,0)),-SUMIFS(Assets!$J:$J,Assets!$B:$B,$A44,Assets!$R:$R,"Yes"),0))</f>
        <v/>
      </c>
      <c r="G44" s="9">
        <f>IF(OR($A44="",I44=""),"",MAX(0,(I44-J44)/IF(IFERROR(XLOOKUP($A44,RetirementPlan!$B:$B,RetirementPlan!$M:$M,""),"")="",SWR,IFERROR(XLOOKUP($A44,RetirementPlan!$B:$B,RetirementPlan!$M:$M,""),""))))</f>
        <v/>
      </c>
      <c r="H44" s="9">
        <f>IF(OR($A44="",F44="",G44=""),"",F44-G44)</f>
        <v/>
      </c>
      <c r="I44" s="9">
        <f>IF($A44="","",XLOOKUP($A44,RetirementPlan!$B:$B,RetirementPlan!$E:$E,""))</f>
        <v/>
      </c>
      <c r="J44" s="9">
        <f>IF($A44="","",N(XLOOKUP($A44,RetirementPlan!$B:$B,RetirementPlan!$G:$G,0))+N(XLOOKUP($A44,RetirementPlan!$B:$B,RetirementPlan!$H:$H,0)))</f>
        <v/>
      </c>
      <c r="K44">
        <f>IF($A44="","",IF(NOT(ISBLANK(XLOOKUP($A44,RetirementPlan!$B:$B,RetirementPlan!$N:$N,""))),XLOOKUP($A44,RetirementPlan!$B:$B,RetirementPlan!$N:$N,""),LET(cid,$A44,c,FILTER(LocationPlan!$D:$D,LocationPlan!$C:$C=cid),p,FILTER(LocationPlan!$E:$E,LocationPlan!$C:$C=cid),IFERROR(INDEX(c,MATCH(MAX(p),p,0)),""))))</f>
        <v/>
      </c>
    </row>
    <row r="45">
      <c r="B45">
        <f>IF($A45="","",XLOOKUP($A45,Clients!$A:$A,Clients!$D:$D)&amp;" "&amp;XLOOKUP($A45,Clients!$A:$A,Clients!$E:$E))</f>
        <v/>
      </c>
      <c r="C45">
        <f>IF($A45="","",DATEDIF(XLOOKUP($A45,Clients!$A:$A,Clients!$F:$F),VAL_DATE,"Y"))</f>
        <v/>
      </c>
      <c r="D45">
        <f>IF(OR($A45="",E45=""),"",E45-C45)</f>
        <v/>
      </c>
      <c r="E45">
        <f>IF($A45="","",XLOOKUP($A45,RetirementPlan!$B:$B,RetirementPlan!$C:$C,""))</f>
        <v/>
      </c>
      <c r="F45" s="9">
        <f>IF(OR($A45="",D45=""),"",FV(IF(IFERROR(XLOOKUP($A45,RetirementPlan!$B:$B,RetirementPlan!$K:$K,""),"")="",GROWTH,IFERROR(XLOOKUP($A45,RetirementPlan!$B:$B,RetirementPlan!$K:$K,""),"")),D45,-N(XLOOKUP($A45,RetirementPlan!$B:$B,RetirementPlan!$I:$I,0)),-SUMIFS(Assets!$J:$J,Assets!$B:$B,$A45,Assets!$R:$R,"Yes"),0))</f>
        <v/>
      </c>
      <c r="G45" s="9">
        <f>IF(OR($A45="",I45=""),"",MAX(0,(I45-J45)/IF(IFERROR(XLOOKUP($A45,RetirementPlan!$B:$B,RetirementPlan!$M:$M,""),"")="",SWR,IFERROR(XLOOKUP($A45,RetirementPlan!$B:$B,RetirementPlan!$M:$M,""),""))))</f>
        <v/>
      </c>
      <c r="H45" s="9">
        <f>IF(OR($A45="",F45="",G45=""),"",F45-G45)</f>
        <v/>
      </c>
      <c r="I45" s="9">
        <f>IF($A45="","",XLOOKUP($A45,RetirementPlan!$B:$B,RetirementPlan!$E:$E,""))</f>
        <v/>
      </c>
      <c r="J45" s="9">
        <f>IF($A45="","",N(XLOOKUP($A45,RetirementPlan!$B:$B,RetirementPlan!$G:$G,0))+N(XLOOKUP($A45,RetirementPlan!$B:$B,RetirementPlan!$H:$H,0)))</f>
        <v/>
      </c>
      <c r="K45">
        <f>IF($A45="","",IF(NOT(ISBLANK(XLOOKUP($A45,RetirementPlan!$B:$B,RetirementPlan!$N:$N,""))),XLOOKUP($A45,RetirementPlan!$B:$B,RetirementPlan!$N:$N,""),LET(cid,$A45,c,FILTER(LocationPlan!$D:$D,LocationPlan!$C:$C=cid),p,FILTER(LocationPlan!$E:$E,LocationPlan!$C:$C=cid),IFERROR(INDEX(c,MATCH(MAX(p),p,0)),""))))</f>
        <v/>
      </c>
    </row>
    <row r="46">
      <c r="B46">
        <f>IF($A46="","",XLOOKUP($A46,Clients!$A:$A,Clients!$D:$D)&amp;" "&amp;XLOOKUP($A46,Clients!$A:$A,Clients!$E:$E))</f>
        <v/>
      </c>
      <c r="C46">
        <f>IF($A46="","",DATEDIF(XLOOKUP($A46,Clients!$A:$A,Clients!$F:$F),VAL_DATE,"Y"))</f>
        <v/>
      </c>
      <c r="D46">
        <f>IF(OR($A46="",E46=""),"",E46-C46)</f>
        <v/>
      </c>
      <c r="E46">
        <f>IF($A46="","",XLOOKUP($A46,RetirementPlan!$B:$B,RetirementPlan!$C:$C,""))</f>
        <v/>
      </c>
      <c r="F46" s="9">
        <f>IF(OR($A46="",D46=""),"",FV(IF(IFERROR(XLOOKUP($A46,RetirementPlan!$B:$B,RetirementPlan!$K:$K,""),"")="",GROWTH,IFERROR(XLOOKUP($A46,RetirementPlan!$B:$B,RetirementPlan!$K:$K,""),"")),D46,-N(XLOOKUP($A46,RetirementPlan!$B:$B,RetirementPlan!$I:$I,0)),-SUMIFS(Assets!$J:$J,Assets!$B:$B,$A46,Assets!$R:$R,"Yes"),0))</f>
        <v/>
      </c>
      <c r="G46" s="9">
        <f>IF(OR($A46="",I46=""),"",MAX(0,(I46-J46)/IF(IFERROR(XLOOKUP($A46,RetirementPlan!$B:$B,RetirementPlan!$M:$M,""),"")="",SWR,IFERROR(XLOOKUP($A46,RetirementPlan!$B:$B,RetirementPlan!$M:$M,""),""))))</f>
        <v/>
      </c>
      <c r="H46" s="9">
        <f>IF(OR($A46="",F46="",G46=""),"",F46-G46)</f>
        <v/>
      </c>
      <c r="I46" s="9">
        <f>IF($A46="","",XLOOKUP($A46,RetirementPlan!$B:$B,RetirementPlan!$E:$E,""))</f>
        <v/>
      </c>
      <c r="J46" s="9">
        <f>IF($A46="","",N(XLOOKUP($A46,RetirementPlan!$B:$B,RetirementPlan!$G:$G,0))+N(XLOOKUP($A46,RetirementPlan!$B:$B,RetirementPlan!$H:$H,0)))</f>
        <v/>
      </c>
      <c r="K46">
        <f>IF($A46="","",IF(NOT(ISBLANK(XLOOKUP($A46,RetirementPlan!$B:$B,RetirementPlan!$N:$N,""))),XLOOKUP($A46,RetirementPlan!$B:$B,RetirementPlan!$N:$N,""),LET(cid,$A46,c,FILTER(LocationPlan!$D:$D,LocationPlan!$C:$C=cid),p,FILTER(LocationPlan!$E:$E,LocationPlan!$C:$C=cid),IFERROR(INDEX(c,MATCH(MAX(p),p,0)),""))))</f>
        <v/>
      </c>
    </row>
    <row r="47">
      <c r="B47">
        <f>IF($A47="","",XLOOKUP($A47,Clients!$A:$A,Clients!$D:$D)&amp;" "&amp;XLOOKUP($A47,Clients!$A:$A,Clients!$E:$E))</f>
        <v/>
      </c>
      <c r="C47">
        <f>IF($A47="","",DATEDIF(XLOOKUP($A47,Clients!$A:$A,Clients!$F:$F),VAL_DATE,"Y"))</f>
        <v/>
      </c>
      <c r="D47">
        <f>IF(OR($A47="",E47=""),"",E47-C47)</f>
        <v/>
      </c>
      <c r="E47">
        <f>IF($A47="","",XLOOKUP($A47,RetirementPlan!$B:$B,RetirementPlan!$C:$C,""))</f>
        <v/>
      </c>
      <c r="F47" s="9">
        <f>IF(OR($A47="",D47=""),"",FV(IF(IFERROR(XLOOKUP($A47,RetirementPlan!$B:$B,RetirementPlan!$K:$K,""),"")="",GROWTH,IFERROR(XLOOKUP($A47,RetirementPlan!$B:$B,RetirementPlan!$K:$K,""),"")),D47,-N(XLOOKUP($A47,RetirementPlan!$B:$B,RetirementPlan!$I:$I,0)),-SUMIFS(Assets!$J:$J,Assets!$B:$B,$A47,Assets!$R:$R,"Yes"),0))</f>
        <v/>
      </c>
      <c r="G47" s="9">
        <f>IF(OR($A47="",I47=""),"",MAX(0,(I47-J47)/IF(IFERROR(XLOOKUP($A47,RetirementPlan!$B:$B,RetirementPlan!$M:$M,""),"")="",SWR,IFERROR(XLOOKUP($A47,RetirementPlan!$B:$B,RetirementPlan!$M:$M,""),""))))</f>
        <v/>
      </c>
      <c r="H47" s="9">
        <f>IF(OR($A47="",F47="",G47=""),"",F47-G47)</f>
        <v/>
      </c>
      <c r="I47" s="9">
        <f>IF($A47="","",XLOOKUP($A47,RetirementPlan!$B:$B,RetirementPlan!$E:$E,""))</f>
        <v/>
      </c>
      <c r="J47" s="9">
        <f>IF($A47="","",N(XLOOKUP($A47,RetirementPlan!$B:$B,RetirementPlan!$G:$G,0))+N(XLOOKUP($A47,RetirementPlan!$B:$B,RetirementPlan!$H:$H,0)))</f>
        <v/>
      </c>
      <c r="K47">
        <f>IF($A47="","",IF(NOT(ISBLANK(XLOOKUP($A47,RetirementPlan!$B:$B,RetirementPlan!$N:$N,""))),XLOOKUP($A47,RetirementPlan!$B:$B,RetirementPlan!$N:$N,""),LET(cid,$A47,c,FILTER(LocationPlan!$D:$D,LocationPlan!$C:$C=cid),p,FILTER(LocationPlan!$E:$E,LocationPlan!$C:$C=cid),IFERROR(INDEX(c,MATCH(MAX(p),p,0)),""))))</f>
        <v/>
      </c>
    </row>
    <row r="48">
      <c r="B48">
        <f>IF($A48="","",XLOOKUP($A48,Clients!$A:$A,Clients!$D:$D)&amp;" "&amp;XLOOKUP($A48,Clients!$A:$A,Clients!$E:$E))</f>
        <v/>
      </c>
      <c r="C48">
        <f>IF($A48="","",DATEDIF(XLOOKUP($A48,Clients!$A:$A,Clients!$F:$F),VAL_DATE,"Y"))</f>
        <v/>
      </c>
      <c r="D48">
        <f>IF(OR($A48="",E48=""),"",E48-C48)</f>
        <v/>
      </c>
      <c r="E48">
        <f>IF($A48="","",XLOOKUP($A48,RetirementPlan!$B:$B,RetirementPlan!$C:$C,""))</f>
        <v/>
      </c>
      <c r="F48" s="9">
        <f>IF(OR($A48="",D48=""),"",FV(IF(IFERROR(XLOOKUP($A48,RetirementPlan!$B:$B,RetirementPlan!$K:$K,""),"")="",GROWTH,IFERROR(XLOOKUP($A48,RetirementPlan!$B:$B,RetirementPlan!$K:$K,""),"")),D48,-N(XLOOKUP($A48,RetirementPlan!$B:$B,RetirementPlan!$I:$I,0)),-SUMIFS(Assets!$J:$J,Assets!$B:$B,$A48,Assets!$R:$R,"Yes"),0))</f>
        <v/>
      </c>
      <c r="G48" s="9">
        <f>IF(OR($A48="",I48=""),"",MAX(0,(I48-J48)/IF(IFERROR(XLOOKUP($A48,RetirementPlan!$B:$B,RetirementPlan!$M:$M,""),"")="",SWR,IFERROR(XLOOKUP($A48,RetirementPlan!$B:$B,RetirementPlan!$M:$M,""),""))))</f>
        <v/>
      </c>
      <c r="H48" s="9">
        <f>IF(OR($A48="",F48="",G48=""),"",F48-G48)</f>
        <v/>
      </c>
      <c r="I48" s="9">
        <f>IF($A48="","",XLOOKUP($A48,RetirementPlan!$B:$B,RetirementPlan!$E:$E,""))</f>
        <v/>
      </c>
      <c r="J48" s="9">
        <f>IF($A48="","",N(XLOOKUP($A48,RetirementPlan!$B:$B,RetirementPlan!$G:$G,0))+N(XLOOKUP($A48,RetirementPlan!$B:$B,RetirementPlan!$H:$H,0)))</f>
        <v/>
      </c>
      <c r="K48">
        <f>IF($A48="","",IF(NOT(ISBLANK(XLOOKUP($A48,RetirementPlan!$B:$B,RetirementPlan!$N:$N,""))),XLOOKUP($A48,RetirementPlan!$B:$B,RetirementPlan!$N:$N,""),LET(cid,$A48,c,FILTER(LocationPlan!$D:$D,LocationPlan!$C:$C=cid),p,FILTER(LocationPlan!$E:$E,LocationPlan!$C:$C=cid),IFERROR(INDEX(c,MATCH(MAX(p),p,0)),""))))</f>
        <v/>
      </c>
    </row>
    <row r="49">
      <c r="B49">
        <f>IF($A49="","",XLOOKUP($A49,Clients!$A:$A,Clients!$D:$D)&amp;" "&amp;XLOOKUP($A49,Clients!$A:$A,Clients!$E:$E))</f>
        <v/>
      </c>
      <c r="C49">
        <f>IF($A49="","",DATEDIF(XLOOKUP($A49,Clients!$A:$A,Clients!$F:$F),VAL_DATE,"Y"))</f>
        <v/>
      </c>
      <c r="D49">
        <f>IF(OR($A49="",E49=""),"",E49-C49)</f>
        <v/>
      </c>
      <c r="E49">
        <f>IF($A49="","",XLOOKUP($A49,RetirementPlan!$B:$B,RetirementPlan!$C:$C,""))</f>
        <v/>
      </c>
      <c r="F49" s="9">
        <f>IF(OR($A49="",D49=""),"",FV(IF(IFERROR(XLOOKUP($A49,RetirementPlan!$B:$B,RetirementPlan!$K:$K,""),"")="",GROWTH,IFERROR(XLOOKUP($A49,RetirementPlan!$B:$B,RetirementPlan!$K:$K,""),"")),D49,-N(XLOOKUP($A49,RetirementPlan!$B:$B,RetirementPlan!$I:$I,0)),-SUMIFS(Assets!$J:$J,Assets!$B:$B,$A49,Assets!$R:$R,"Yes"),0))</f>
        <v/>
      </c>
      <c r="G49" s="9">
        <f>IF(OR($A49="",I49=""),"",MAX(0,(I49-J49)/IF(IFERROR(XLOOKUP($A49,RetirementPlan!$B:$B,RetirementPlan!$M:$M,""),"")="",SWR,IFERROR(XLOOKUP($A49,RetirementPlan!$B:$B,RetirementPlan!$M:$M,""),""))))</f>
        <v/>
      </c>
      <c r="H49" s="9">
        <f>IF(OR($A49="",F49="",G49=""),"",F49-G49)</f>
        <v/>
      </c>
      <c r="I49" s="9">
        <f>IF($A49="","",XLOOKUP($A49,RetirementPlan!$B:$B,RetirementPlan!$E:$E,""))</f>
        <v/>
      </c>
      <c r="J49" s="9">
        <f>IF($A49="","",N(XLOOKUP($A49,RetirementPlan!$B:$B,RetirementPlan!$G:$G,0))+N(XLOOKUP($A49,RetirementPlan!$B:$B,RetirementPlan!$H:$H,0)))</f>
        <v/>
      </c>
      <c r="K49">
        <f>IF($A49="","",IF(NOT(ISBLANK(XLOOKUP($A49,RetirementPlan!$B:$B,RetirementPlan!$N:$N,""))),XLOOKUP($A49,RetirementPlan!$B:$B,RetirementPlan!$N:$N,""),LET(cid,$A49,c,FILTER(LocationPlan!$D:$D,LocationPlan!$C:$C=cid),p,FILTER(LocationPlan!$E:$E,LocationPlan!$C:$C=cid),IFERROR(INDEX(c,MATCH(MAX(p),p,0)),""))))</f>
        <v/>
      </c>
    </row>
    <row r="50">
      <c r="B50">
        <f>IF($A50="","",XLOOKUP($A50,Clients!$A:$A,Clients!$D:$D)&amp;" "&amp;XLOOKUP($A50,Clients!$A:$A,Clients!$E:$E))</f>
        <v/>
      </c>
      <c r="C50">
        <f>IF($A50="","",DATEDIF(XLOOKUP($A50,Clients!$A:$A,Clients!$F:$F),VAL_DATE,"Y"))</f>
        <v/>
      </c>
      <c r="D50">
        <f>IF(OR($A50="",E50=""),"",E50-C50)</f>
        <v/>
      </c>
      <c r="E50">
        <f>IF($A50="","",XLOOKUP($A50,RetirementPlan!$B:$B,RetirementPlan!$C:$C,""))</f>
        <v/>
      </c>
      <c r="F50" s="9">
        <f>IF(OR($A50="",D50=""),"",FV(IF(IFERROR(XLOOKUP($A50,RetirementPlan!$B:$B,RetirementPlan!$K:$K,""),"")="",GROWTH,IFERROR(XLOOKUP($A50,RetirementPlan!$B:$B,RetirementPlan!$K:$K,""),"")),D50,-N(XLOOKUP($A50,RetirementPlan!$B:$B,RetirementPlan!$I:$I,0)),-SUMIFS(Assets!$J:$J,Assets!$B:$B,$A50,Assets!$R:$R,"Yes"),0))</f>
        <v/>
      </c>
      <c r="G50" s="9">
        <f>IF(OR($A50="",I50=""),"",MAX(0,(I50-J50)/IF(IFERROR(XLOOKUP($A50,RetirementPlan!$B:$B,RetirementPlan!$M:$M,""),"")="",SWR,IFERROR(XLOOKUP($A50,RetirementPlan!$B:$B,RetirementPlan!$M:$M,""),""))))</f>
        <v/>
      </c>
      <c r="H50" s="9">
        <f>IF(OR($A50="",F50="",G50=""),"",F50-G50)</f>
        <v/>
      </c>
      <c r="I50" s="9">
        <f>IF($A50="","",XLOOKUP($A50,RetirementPlan!$B:$B,RetirementPlan!$E:$E,""))</f>
        <v/>
      </c>
      <c r="J50" s="9">
        <f>IF($A50="","",N(XLOOKUP($A50,RetirementPlan!$B:$B,RetirementPlan!$G:$G,0))+N(XLOOKUP($A50,RetirementPlan!$B:$B,RetirementPlan!$H:$H,0)))</f>
        <v/>
      </c>
      <c r="K50">
        <f>IF($A50="","",IF(NOT(ISBLANK(XLOOKUP($A50,RetirementPlan!$B:$B,RetirementPlan!$N:$N,""))),XLOOKUP($A50,RetirementPlan!$B:$B,RetirementPlan!$N:$N,""),LET(cid,$A50,c,FILTER(LocationPlan!$D:$D,LocationPlan!$C:$C=cid),p,FILTER(LocationPlan!$E:$E,LocationPlan!$C:$C=cid),IFERROR(INDEX(c,MATCH(MAX(p),p,0)),""))))</f>
        <v/>
      </c>
    </row>
    <row r="51">
      <c r="B51">
        <f>IF($A51="","",XLOOKUP($A51,Clients!$A:$A,Clients!$D:$D)&amp;" "&amp;XLOOKUP($A51,Clients!$A:$A,Clients!$E:$E))</f>
        <v/>
      </c>
      <c r="C51">
        <f>IF($A51="","",DATEDIF(XLOOKUP($A51,Clients!$A:$A,Clients!$F:$F),VAL_DATE,"Y"))</f>
        <v/>
      </c>
      <c r="D51">
        <f>IF(OR($A51="",E51=""),"",E51-C51)</f>
        <v/>
      </c>
      <c r="E51">
        <f>IF($A51="","",XLOOKUP($A51,RetirementPlan!$B:$B,RetirementPlan!$C:$C,""))</f>
        <v/>
      </c>
      <c r="F51" s="9">
        <f>IF(OR($A51="",D51=""),"",FV(IF(IFERROR(XLOOKUP($A51,RetirementPlan!$B:$B,RetirementPlan!$K:$K,""),"")="",GROWTH,IFERROR(XLOOKUP($A51,RetirementPlan!$B:$B,RetirementPlan!$K:$K,""),"")),D51,-N(XLOOKUP($A51,RetirementPlan!$B:$B,RetirementPlan!$I:$I,0)),-SUMIFS(Assets!$J:$J,Assets!$B:$B,$A51,Assets!$R:$R,"Yes"),0))</f>
        <v/>
      </c>
      <c r="G51" s="9">
        <f>IF(OR($A51="",I51=""),"",MAX(0,(I51-J51)/IF(IFERROR(XLOOKUP($A51,RetirementPlan!$B:$B,RetirementPlan!$M:$M,""),"")="",SWR,IFERROR(XLOOKUP($A51,RetirementPlan!$B:$B,RetirementPlan!$M:$M,""),""))))</f>
        <v/>
      </c>
      <c r="H51" s="9">
        <f>IF(OR($A51="",F51="",G51=""),"",F51-G51)</f>
        <v/>
      </c>
      <c r="I51" s="9">
        <f>IF($A51="","",XLOOKUP($A51,RetirementPlan!$B:$B,RetirementPlan!$E:$E,""))</f>
        <v/>
      </c>
      <c r="J51" s="9">
        <f>IF($A51="","",N(XLOOKUP($A51,RetirementPlan!$B:$B,RetirementPlan!$G:$G,0))+N(XLOOKUP($A51,RetirementPlan!$B:$B,RetirementPlan!$H:$H,0)))</f>
        <v/>
      </c>
      <c r="K51">
        <f>IF($A51="","",IF(NOT(ISBLANK(XLOOKUP($A51,RetirementPlan!$B:$B,RetirementPlan!$N:$N,""))),XLOOKUP($A51,RetirementPlan!$B:$B,RetirementPlan!$N:$N,""),LET(cid,$A51,c,FILTER(LocationPlan!$D:$D,LocationPlan!$C:$C=cid),p,FILTER(LocationPlan!$E:$E,LocationPlan!$C:$C=cid),IFERROR(INDEX(c,MATCH(MAX(p),p,0)),""))))</f>
        <v/>
      </c>
    </row>
    <row r="52">
      <c r="B52">
        <f>IF($A52="","",XLOOKUP($A52,Clients!$A:$A,Clients!$D:$D)&amp;" "&amp;XLOOKUP($A52,Clients!$A:$A,Clients!$E:$E))</f>
        <v/>
      </c>
      <c r="C52">
        <f>IF($A52="","",DATEDIF(XLOOKUP($A52,Clients!$A:$A,Clients!$F:$F),VAL_DATE,"Y"))</f>
        <v/>
      </c>
      <c r="D52">
        <f>IF(OR($A52="",E52=""),"",E52-C52)</f>
        <v/>
      </c>
      <c r="E52">
        <f>IF($A52="","",XLOOKUP($A52,RetirementPlan!$B:$B,RetirementPlan!$C:$C,""))</f>
        <v/>
      </c>
      <c r="F52" s="9">
        <f>IF(OR($A52="",D52=""),"",FV(IF(IFERROR(XLOOKUP($A52,RetirementPlan!$B:$B,RetirementPlan!$K:$K,""),"")="",GROWTH,IFERROR(XLOOKUP($A52,RetirementPlan!$B:$B,RetirementPlan!$K:$K,""),"")),D52,-N(XLOOKUP($A52,RetirementPlan!$B:$B,RetirementPlan!$I:$I,0)),-SUMIFS(Assets!$J:$J,Assets!$B:$B,$A52,Assets!$R:$R,"Yes"),0))</f>
        <v/>
      </c>
      <c r="G52" s="9">
        <f>IF(OR($A52="",I52=""),"",MAX(0,(I52-J52)/IF(IFERROR(XLOOKUP($A52,RetirementPlan!$B:$B,RetirementPlan!$M:$M,""),"")="",SWR,IFERROR(XLOOKUP($A52,RetirementPlan!$B:$B,RetirementPlan!$M:$M,""),""))))</f>
        <v/>
      </c>
      <c r="H52" s="9">
        <f>IF(OR($A52="",F52="",G52=""),"",F52-G52)</f>
        <v/>
      </c>
      <c r="I52" s="9">
        <f>IF($A52="","",XLOOKUP($A52,RetirementPlan!$B:$B,RetirementPlan!$E:$E,""))</f>
        <v/>
      </c>
      <c r="J52" s="9">
        <f>IF($A52="","",N(XLOOKUP($A52,RetirementPlan!$B:$B,RetirementPlan!$G:$G,0))+N(XLOOKUP($A52,RetirementPlan!$B:$B,RetirementPlan!$H:$H,0)))</f>
        <v/>
      </c>
      <c r="K52">
        <f>IF($A52="","",IF(NOT(ISBLANK(XLOOKUP($A52,RetirementPlan!$B:$B,RetirementPlan!$N:$N,""))),XLOOKUP($A52,RetirementPlan!$B:$B,RetirementPlan!$N:$N,""),LET(cid,$A52,c,FILTER(LocationPlan!$D:$D,LocationPlan!$C:$C=cid),p,FILTER(LocationPlan!$E:$E,LocationPlan!$C:$C=cid),IFERROR(INDEX(c,MATCH(MAX(p),p,0)),""))))</f>
        <v/>
      </c>
    </row>
    <row r="53">
      <c r="B53">
        <f>IF($A53="","",XLOOKUP($A53,Clients!$A:$A,Clients!$D:$D)&amp;" "&amp;XLOOKUP($A53,Clients!$A:$A,Clients!$E:$E))</f>
        <v/>
      </c>
      <c r="C53">
        <f>IF($A53="","",DATEDIF(XLOOKUP($A53,Clients!$A:$A,Clients!$F:$F),VAL_DATE,"Y"))</f>
        <v/>
      </c>
      <c r="D53">
        <f>IF(OR($A53="",E53=""),"",E53-C53)</f>
        <v/>
      </c>
      <c r="E53">
        <f>IF($A53="","",XLOOKUP($A53,RetirementPlan!$B:$B,RetirementPlan!$C:$C,""))</f>
        <v/>
      </c>
      <c r="F53" s="9">
        <f>IF(OR($A53="",D53=""),"",FV(IF(IFERROR(XLOOKUP($A53,RetirementPlan!$B:$B,RetirementPlan!$K:$K,""),"")="",GROWTH,IFERROR(XLOOKUP($A53,RetirementPlan!$B:$B,RetirementPlan!$K:$K,""),"")),D53,-N(XLOOKUP($A53,RetirementPlan!$B:$B,RetirementPlan!$I:$I,0)),-SUMIFS(Assets!$J:$J,Assets!$B:$B,$A53,Assets!$R:$R,"Yes"),0))</f>
        <v/>
      </c>
      <c r="G53" s="9">
        <f>IF(OR($A53="",I53=""),"",MAX(0,(I53-J53)/IF(IFERROR(XLOOKUP($A53,RetirementPlan!$B:$B,RetirementPlan!$M:$M,""),"")="",SWR,IFERROR(XLOOKUP($A53,RetirementPlan!$B:$B,RetirementPlan!$M:$M,""),""))))</f>
        <v/>
      </c>
      <c r="H53" s="9">
        <f>IF(OR($A53="",F53="",G53=""),"",F53-G53)</f>
        <v/>
      </c>
      <c r="I53" s="9">
        <f>IF($A53="","",XLOOKUP($A53,RetirementPlan!$B:$B,RetirementPlan!$E:$E,""))</f>
        <v/>
      </c>
      <c r="J53" s="9">
        <f>IF($A53="","",N(XLOOKUP($A53,RetirementPlan!$B:$B,RetirementPlan!$G:$G,0))+N(XLOOKUP($A53,RetirementPlan!$B:$B,RetirementPlan!$H:$H,0)))</f>
        <v/>
      </c>
      <c r="K53">
        <f>IF($A53="","",IF(NOT(ISBLANK(XLOOKUP($A53,RetirementPlan!$B:$B,RetirementPlan!$N:$N,""))),XLOOKUP($A53,RetirementPlan!$B:$B,RetirementPlan!$N:$N,""),LET(cid,$A53,c,FILTER(LocationPlan!$D:$D,LocationPlan!$C:$C=cid),p,FILTER(LocationPlan!$E:$E,LocationPlan!$C:$C=cid),IFERROR(INDEX(c,MATCH(MAX(p),p,0)),""))))</f>
        <v/>
      </c>
    </row>
    <row r="54">
      <c r="B54">
        <f>IF($A54="","",XLOOKUP($A54,Clients!$A:$A,Clients!$D:$D)&amp;" "&amp;XLOOKUP($A54,Clients!$A:$A,Clients!$E:$E))</f>
        <v/>
      </c>
      <c r="C54">
        <f>IF($A54="","",DATEDIF(XLOOKUP($A54,Clients!$A:$A,Clients!$F:$F),VAL_DATE,"Y"))</f>
        <v/>
      </c>
      <c r="D54">
        <f>IF(OR($A54="",E54=""),"",E54-C54)</f>
        <v/>
      </c>
      <c r="E54">
        <f>IF($A54="","",XLOOKUP($A54,RetirementPlan!$B:$B,RetirementPlan!$C:$C,""))</f>
        <v/>
      </c>
      <c r="F54" s="9">
        <f>IF(OR($A54="",D54=""),"",FV(IF(IFERROR(XLOOKUP($A54,RetirementPlan!$B:$B,RetirementPlan!$K:$K,""),"")="",GROWTH,IFERROR(XLOOKUP($A54,RetirementPlan!$B:$B,RetirementPlan!$K:$K,""),"")),D54,-N(XLOOKUP($A54,RetirementPlan!$B:$B,RetirementPlan!$I:$I,0)),-SUMIFS(Assets!$J:$J,Assets!$B:$B,$A54,Assets!$R:$R,"Yes"),0))</f>
        <v/>
      </c>
      <c r="G54" s="9">
        <f>IF(OR($A54="",I54=""),"",MAX(0,(I54-J54)/IF(IFERROR(XLOOKUP($A54,RetirementPlan!$B:$B,RetirementPlan!$M:$M,""),"")="",SWR,IFERROR(XLOOKUP($A54,RetirementPlan!$B:$B,RetirementPlan!$M:$M,""),""))))</f>
        <v/>
      </c>
      <c r="H54" s="9">
        <f>IF(OR($A54="",F54="",G54=""),"",F54-G54)</f>
        <v/>
      </c>
      <c r="I54" s="9">
        <f>IF($A54="","",XLOOKUP($A54,RetirementPlan!$B:$B,RetirementPlan!$E:$E,""))</f>
        <v/>
      </c>
      <c r="J54" s="9">
        <f>IF($A54="","",N(XLOOKUP($A54,RetirementPlan!$B:$B,RetirementPlan!$G:$G,0))+N(XLOOKUP($A54,RetirementPlan!$B:$B,RetirementPlan!$H:$H,0)))</f>
        <v/>
      </c>
      <c r="K54">
        <f>IF($A54="","",IF(NOT(ISBLANK(XLOOKUP($A54,RetirementPlan!$B:$B,RetirementPlan!$N:$N,""))),XLOOKUP($A54,RetirementPlan!$B:$B,RetirementPlan!$N:$N,""),LET(cid,$A54,c,FILTER(LocationPlan!$D:$D,LocationPlan!$C:$C=cid),p,FILTER(LocationPlan!$E:$E,LocationPlan!$C:$C=cid),IFERROR(INDEX(c,MATCH(MAX(p),p,0)),""))))</f>
        <v/>
      </c>
    </row>
    <row r="55">
      <c r="B55">
        <f>IF($A55="","",XLOOKUP($A55,Clients!$A:$A,Clients!$D:$D)&amp;" "&amp;XLOOKUP($A55,Clients!$A:$A,Clients!$E:$E))</f>
        <v/>
      </c>
      <c r="C55">
        <f>IF($A55="","",DATEDIF(XLOOKUP($A55,Clients!$A:$A,Clients!$F:$F),VAL_DATE,"Y"))</f>
        <v/>
      </c>
      <c r="D55">
        <f>IF(OR($A55="",E55=""),"",E55-C55)</f>
        <v/>
      </c>
      <c r="E55">
        <f>IF($A55="","",XLOOKUP($A55,RetirementPlan!$B:$B,RetirementPlan!$C:$C,""))</f>
        <v/>
      </c>
      <c r="F55" s="9">
        <f>IF(OR($A55="",D55=""),"",FV(IF(IFERROR(XLOOKUP($A55,RetirementPlan!$B:$B,RetirementPlan!$K:$K,""),"")="",GROWTH,IFERROR(XLOOKUP($A55,RetirementPlan!$B:$B,RetirementPlan!$K:$K,""),"")),D55,-N(XLOOKUP($A55,RetirementPlan!$B:$B,RetirementPlan!$I:$I,0)),-SUMIFS(Assets!$J:$J,Assets!$B:$B,$A55,Assets!$R:$R,"Yes"),0))</f>
        <v/>
      </c>
      <c r="G55" s="9">
        <f>IF(OR($A55="",I55=""),"",MAX(0,(I55-J55)/IF(IFERROR(XLOOKUP($A55,RetirementPlan!$B:$B,RetirementPlan!$M:$M,""),"")="",SWR,IFERROR(XLOOKUP($A55,RetirementPlan!$B:$B,RetirementPlan!$M:$M,""),""))))</f>
        <v/>
      </c>
      <c r="H55" s="9">
        <f>IF(OR($A55="",F55="",G55=""),"",F55-G55)</f>
        <v/>
      </c>
      <c r="I55" s="9">
        <f>IF($A55="","",XLOOKUP($A55,RetirementPlan!$B:$B,RetirementPlan!$E:$E,""))</f>
        <v/>
      </c>
      <c r="J55" s="9">
        <f>IF($A55="","",N(XLOOKUP($A55,RetirementPlan!$B:$B,RetirementPlan!$G:$G,0))+N(XLOOKUP($A55,RetirementPlan!$B:$B,RetirementPlan!$H:$H,0)))</f>
        <v/>
      </c>
      <c r="K55">
        <f>IF($A55="","",IF(NOT(ISBLANK(XLOOKUP($A55,RetirementPlan!$B:$B,RetirementPlan!$N:$N,""))),XLOOKUP($A55,RetirementPlan!$B:$B,RetirementPlan!$N:$N,""),LET(cid,$A55,c,FILTER(LocationPlan!$D:$D,LocationPlan!$C:$C=cid),p,FILTER(LocationPlan!$E:$E,LocationPlan!$C:$C=cid),IFERROR(INDEX(c,MATCH(MAX(p),p,0)),""))))</f>
        <v/>
      </c>
    </row>
    <row r="56">
      <c r="B56">
        <f>IF($A56="","",XLOOKUP($A56,Clients!$A:$A,Clients!$D:$D)&amp;" "&amp;XLOOKUP($A56,Clients!$A:$A,Clients!$E:$E))</f>
        <v/>
      </c>
      <c r="C56">
        <f>IF($A56="","",DATEDIF(XLOOKUP($A56,Clients!$A:$A,Clients!$F:$F),VAL_DATE,"Y"))</f>
        <v/>
      </c>
      <c r="D56">
        <f>IF(OR($A56="",E56=""),"",E56-C56)</f>
        <v/>
      </c>
      <c r="E56">
        <f>IF($A56="","",XLOOKUP($A56,RetirementPlan!$B:$B,RetirementPlan!$C:$C,""))</f>
        <v/>
      </c>
      <c r="F56" s="9">
        <f>IF(OR($A56="",D56=""),"",FV(IF(IFERROR(XLOOKUP($A56,RetirementPlan!$B:$B,RetirementPlan!$K:$K,""),"")="",GROWTH,IFERROR(XLOOKUP($A56,RetirementPlan!$B:$B,RetirementPlan!$K:$K,""),"")),D56,-N(XLOOKUP($A56,RetirementPlan!$B:$B,RetirementPlan!$I:$I,0)),-SUMIFS(Assets!$J:$J,Assets!$B:$B,$A56,Assets!$R:$R,"Yes"),0))</f>
        <v/>
      </c>
      <c r="G56" s="9">
        <f>IF(OR($A56="",I56=""),"",MAX(0,(I56-J56)/IF(IFERROR(XLOOKUP($A56,RetirementPlan!$B:$B,RetirementPlan!$M:$M,""),"")="",SWR,IFERROR(XLOOKUP($A56,RetirementPlan!$B:$B,RetirementPlan!$M:$M,""),""))))</f>
        <v/>
      </c>
      <c r="H56" s="9">
        <f>IF(OR($A56="",F56="",G56=""),"",F56-G56)</f>
        <v/>
      </c>
      <c r="I56" s="9">
        <f>IF($A56="","",XLOOKUP($A56,RetirementPlan!$B:$B,RetirementPlan!$E:$E,""))</f>
        <v/>
      </c>
      <c r="J56" s="9">
        <f>IF($A56="","",N(XLOOKUP($A56,RetirementPlan!$B:$B,RetirementPlan!$G:$G,0))+N(XLOOKUP($A56,RetirementPlan!$B:$B,RetirementPlan!$H:$H,0)))</f>
        <v/>
      </c>
      <c r="K56">
        <f>IF($A56="","",IF(NOT(ISBLANK(XLOOKUP($A56,RetirementPlan!$B:$B,RetirementPlan!$N:$N,""))),XLOOKUP($A56,RetirementPlan!$B:$B,RetirementPlan!$N:$N,""),LET(cid,$A56,c,FILTER(LocationPlan!$D:$D,LocationPlan!$C:$C=cid),p,FILTER(LocationPlan!$E:$E,LocationPlan!$C:$C=cid),IFERROR(INDEX(c,MATCH(MAX(p),p,0)),""))))</f>
        <v/>
      </c>
    </row>
    <row r="57">
      <c r="B57">
        <f>IF($A57="","",XLOOKUP($A57,Clients!$A:$A,Clients!$D:$D)&amp;" "&amp;XLOOKUP($A57,Clients!$A:$A,Clients!$E:$E))</f>
        <v/>
      </c>
      <c r="C57">
        <f>IF($A57="","",DATEDIF(XLOOKUP($A57,Clients!$A:$A,Clients!$F:$F),VAL_DATE,"Y"))</f>
        <v/>
      </c>
      <c r="D57">
        <f>IF(OR($A57="",E57=""),"",E57-C57)</f>
        <v/>
      </c>
      <c r="E57">
        <f>IF($A57="","",XLOOKUP($A57,RetirementPlan!$B:$B,RetirementPlan!$C:$C,""))</f>
        <v/>
      </c>
      <c r="F57" s="9">
        <f>IF(OR($A57="",D57=""),"",FV(IF(IFERROR(XLOOKUP($A57,RetirementPlan!$B:$B,RetirementPlan!$K:$K,""),"")="",GROWTH,IFERROR(XLOOKUP($A57,RetirementPlan!$B:$B,RetirementPlan!$K:$K,""),"")),D57,-N(XLOOKUP($A57,RetirementPlan!$B:$B,RetirementPlan!$I:$I,0)),-SUMIFS(Assets!$J:$J,Assets!$B:$B,$A57,Assets!$R:$R,"Yes"),0))</f>
        <v/>
      </c>
      <c r="G57" s="9">
        <f>IF(OR($A57="",I57=""),"",MAX(0,(I57-J57)/IF(IFERROR(XLOOKUP($A57,RetirementPlan!$B:$B,RetirementPlan!$M:$M,""),"")="",SWR,IFERROR(XLOOKUP($A57,RetirementPlan!$B:$B,RetirementPlan!$M:$M,""),""))))</f>
        <v/>
      </c>
      <c r="H57" s="9">
        <f>IF(OR($A57="",F57="",G57=""),"",F57-G57)</f>
        <v/>
      </c>
      <c r="I57" s="9">
        <f>IF($A57="","",XLOOKUP($A57,RetirementPlan!$B:$B,RetirementPlan!$E:$E,""))</f>
        <v/>
      </c>
      <c r="J57" s="9">
        <f>IF($A57="","",N(XLOOKUP($A57,RetirementPlan!$B:$B,RetirementPlan!$G:$G,0))+N(XLOOKUP($A57,RetirementPlan!$B:$B,RetirementPlan!$H:$H,0)))</f>
        <v/>
      </c>
      <c r="K57">
        <f>IF($A57="","",IF(NOT(ISBLANK(XLOOKUP($A57,RetirementPlan!$B:$B,RetirementPlan!$N:$N,""))),XLOOKUP($A57,RetirementPlan!$B:$B,RetirementPlan!$N:$N,""),LET(cid,$A57,c,FILTER(LocationPlan!$D:$D,LocationPlan!$C:$C=cid),p,FILTER(LocationPlan!$E:$E,LocationPlan!$C:$C=cid),IFERROR(INDEX(c,MATCH(MAX(p),p,0)),""))))</f>
        <v/>
      </c>
    </row>
    <row r="58">
      <c r="B58">
        <f>IF($A58="","",XLOOKUP($A58,Clients!$A:$A,Clients!$D:$D)&amp;" "&amp;XLOOKUP($A58,Clients!$A:$A,Clients!$E:$E))</f>
        <v/>
      </c>
      <c r="C58">
        <f>IF($A58="","",DATEDIF(XLOOKUP($A58,Clients!$A:$A,Clients!$F:$F),VAL_DATE,"Y"))</f>
        <v/>
      </c>
      <c r="D58">
        <f>IF(OR($A58="",E58=""),"",E58-C58)</f>
        <v/>
      </c>
      <c r="E58">
        <f>IF($A58="","",XLOOKUP($A58,RetirementPlan!$B:$B,RetirementPlan!$C:$C,""))</f>
        <v/>
      </c>
      <c r="F58" s="9">
        <f>IF(OR($A58="",D58=""),"",FV(IF(IFERROR(XLOOKUP($A58,RetirementPlan!$B:$B,RetirementPlan!$K:$K,""),"")="",GROWTH,IFERROR(XLOOKUP($A58,RetirementPlan!$B:$B,RetirementPlan!$K:$K,""),"")),D58,-N(XLOOKUP($A58,RetirementPlan!$B:$B,RetirementPlan!$I:$I,0)),-SUMIFS(Assets!$J:$J,Assets!$B:$B,$A58,Assets!$R:$R,"Yes"),0))</f>
        <v/>
      </c>
      <c r="G58" s="9">
        <f>IF(OR($A58="",I58=""),"",MAX(0,(I58-J58)/IF(IFERROR(XLOOKUP($A58,RetirementPlan!$B:$B,RetirementPlan!$M:$M,""),"")="",SWR,IFERROR(XLOOKUP($A58,RetirementPlan!$B:$B,RetirementPlan!$M:$M,""),""))))</f>
        <v/>
      </c>
      <c r="H58" s="9">
        <f>IF(OR($A58="",F58="",G58=""),"",F58-G58)</f>
        <v/>
      </c>
      <c r="I58" s="9">
        <f>IF($A58="","",XLOOKUP($A58,RetirementPlan!$B:$B,RetirementPlan!$E:$E,""))</f>
        <v/>
      </c>
      <c r="J58" s="9">
        <f>IF($A58="","",N(XLOOKUP($A58,RetirementPlan!$B:$B,RetirementPlan!$G:$G,0))+N(XLOOKUP($A58,RetirementPlan!$B:$B,RetirementPlan!$H:$H,0)))</f>
        <v/>
      </c>
      <c r="K58">
        <f>IF($A58="","",IF(NOT(ISBLANK(XLOOKUP($A58,RetirementPlan!$B:$B,RetirementPlan!$N:$N,""))),XLOOKUP($A58,RetirementPlan!$B:$B,RetirementPlan!$N:$N,""),LET(cid,$A58,c,FILTER(LocationPlan!$D:$D,LocationPlan!$C:$C=cid),p,FILTER(LocationPlan!$E:$E,LocationPlan!$C:$C=cid),IFERROR(INDEX(c,MATCH(MAX(p),p,0)),""))))</f>
        <v/>
      </c>
    </row>
    <row r="59">
      <c r="B59">
        <f>IF($A59="","",XLOOKUP($A59,Clients!$A:$A,Clients!$D:$D)&amp;" "&amp;XLOOKUP($A59,Clients!$A:$A,Clients!$E:$E))</f>
        <v/>
      </c>
      <c r="C59">
        <f>IF($A59="","",DATEDIF(XLOOKUP($A59,Clients!$A:$A,Clients!$F:$F),VAL_DATE,"Y"))</f>
        <v/>
      </c>
      <c r="D59">
        <f>IF(OR($A59="",E59=""),"",E59-C59)</f>
        <v/>
      </c>
      <c r="E59">
        <f>IF($A59="","",XLOOKUP($A59,RetirementPlan!$B:$B,RetirementPlan!$C:$C,""))</f>
        <v/>
      </c>
      <c r="F59" s="9">
        <f>IF(OR($A59="",D59=""),"",FV(IF(IFERROR(XLOOKUP($A59,RetirementPlan!$B:$B,RetirementPlan!$K:$K,""),"")="",GROWTH,IFERROR(XLOOKUP($A59,RetirementPlan!$B:$B,RetirementPlan!$K:$K,""),"")),D59,-N(XLOOKUP($A59,RetirementPlan!$B:$B,RetirementPlan!$I:$I,0)),-SUMIFS(Assets!$J:$J,Assets!$B:$B,$A59,Assets!$R:$R,"Yes"),0))</f>
        <v/>
      </c>
      <c r="G59" s="9">
        <f>IF(OR($A59="",I59=""),"",MAX(0,(I59-J59)/IF(IFERROR(XLOOKUP($A59,RetirementPlan!$B:$B,RetirementPlan!$M:$M,""),"")="",SWR,IFERROR(XLOOKUP($A59,RetirementPlan!$B:$B,RetirementPlan!$M:$M,""),""))))</f>
        <v/>
      </c>
      <c r="H59" s="9">
        <f>IF(OR($A59="",F59="",G59=""),"",F59-G59)</f>
        <v/>
      </c>
      <c r="I59" s="9">
        <f>IF($A59="","",XLOOKUP($A59,RetirementPlan!$B:$B,RetirementPlan!$E:$E,""))</f>
        <v/>
      </c>
      <c r="J59" s="9">
        <f>IF($A59="","",N(XLOOKUP($A59,RetirementPlan!$B:$B,RetirementPlan!$G:$G,0))+N(XLOOKUP($A59,RetirementPlan!$B:$B,RetirementPlan!$H:$H,0)))</f>
        <v/>
      </c>
      <c r="K59">
        <f>IF($A59="","",IF(NOT(ISBLANK(XLOOKUP($A59,RetirementPlan!$B:$B,RetirementPlan!$N:$N,""))),XLOOKUP($A59,RetirementPlan!$B:$B,RetirementPlan!$N:$N,""),LET(cid,$A59,c,FILTER(LocationPlan!$D:$D,LocationPlan!$C:$C=cid),p,FILTER(LocationPlan!$E:$E,LocationPlan!$C:$C=cid),IFERROR(INDEX(c,MATCH(MAX(p),p,0)),""))))</f>
        <v/>
      </c>
    </row>
    <row r="60">
      <c r="B60">
        <f>IF($A60="","",XLOOKUP($A60,Clients!$A:$A,Clients!$D:$D)&amp;" "&amp;XLOOKUP($A60,Clients!$A:$A,Clients!$E:$E))</f>
        <v/>
      </c>
      <c r="C60">
        <f>IF($A60="","",DATEDIF(XLOOKUP($A60,Clients!$A:$A,Clients!$F:$F),VAL_DATE,"Y"))</f>
        <v/>
      </c>
      <c r="D60">
        <f>IF(OR($A60="",E60=""),"",E60-C60)</f>
        <v/>
      </c>
      <c r="E60">
        <f>IF($A60="","",XLOOKUP($A60,RetirementPlan!$B:$B,RetirementPlan!$C:$C,""))</f>
        <v/>
      </c>
      <c r="F60" s="9">
        <f>IF(OR($A60="",D60=""),"",FV(IF(IFERROR(XLOOKUP($A60,RetirementPlan!$B:$B,RetirementPlan!$K:$K,""),"")="",GROWTH,IFERROR(XLOOKUP($A60,RetirementPlan!$B:$B,RetirementPlan!$K:$K,""),"")),D60,-N(XLOOKUP($A60,RetirementPlan!$B:$B,RetirementPlan!$I:$I,0)),-SUMIFS(Assets!$J:$J,Assets!$B:$B,$A60,Assets!$R:$R,"Yes"),0))</f>
        <v/>
      </c>
      <c r="G60" s="9">
        <f>IF(OR($A60="",I60=""),"",MAX(0,(I60-J60)/IF(IFERROR(XLOOKUP($A60,RetirementPlan!$B:$B,RetirementPlan!$M:$M,""),"")="",SWR,IFERROR(XLOOKUP($A60,RetirementPlan!$B:$B,RetirementPlan!$M:$M,""),""))))</f>
        <v/>
      </c>
      <c r="H60" s="9">
        <f>IF(OR($A60="",F60="",G60=""),"",F60-G60)</f>
        <v/>
      </c>
      <c r="I60" s="9">
        <f>IF($A60="","",XLOOKUP($A60,RetirementPlan!$B:$B,RetirementPlan!$E:$E,""))</f>
        <v/>
      </c>
      <c r="J60" s="9">
        <f>IF($A60="","",N(XLOOKUP($A60,RetirementPlan!$B:$B,RetirementPlan!$G:$G,0))+N(XLOOKUP($A60,RetirementPlan!$B:$B,RetirementPlan!$H:$H,0)))</f>
        <v/>
      </c>
      <c r="K60">
        <f>IF($A60="","",IF(NOT(ISBLANK(XLOOKUP($A60,RetirementPlan!$B:$B,RetirementPlan!$N:$N,""))),XLOOKUP($A60,RetirementPlan!$B:$B,RetirementPlan!$N:$N,""),LET(cid,$A60,c,FILTER(LocationPlan!$D:$D,LocationPlan!$C:$C=cid),p,FILTER(LocationPlan!$E:$E,LocationPlan!$C:$C=cid),IFERROR(INDEX(c,MATCH(MAX(p),p,0)),""))))</f>
        <v/>
      </c>
    </row>
    <row r="61">
      <c r="B61">
        <f>IF($A61="","",XLOOKUP($A61,Clients!$A:$A,Clients!$D:$D)&amp;" "&amp;XLOOKUP($A61,Clients!$A:$A,Clients!$E:$E))</f>
        <v/>
      </c>
      <c r="C61">
        <f>IF($A61="","",DATEDIF(XLOOKUP($A61,Clients!$A:$A,Clients!$F:$F),VAL_DATE,"Y"))</f>
        <v/>
      </c>
      <c r="D61">
        <f>IF(OR($A61="",E61=""),"",E61-C61)</f>
        <v/>
      </c>
      <c r="E61">
        <f>IF($A61="","",XLOOKUP($A61,RetirementPlan!$B:$B,RetirementPlan!$C:$C,""))</f>
        <v/>
      </c>
      <c r="F61" s="9">
        <f>IF(OR($A61="",D61=""),"",FV(IF(IFERROR(XLOOKUP($A61,RetirementPlan!$B:$B,RetirementPlan!$K:$K,""),"")="",GROWTH,IFERROR(XLOOKUP($A61,RetirementPlan!$B:$B,RetirementPlan!$K:$K,""),"")),D61,-N(XLOOKUP($A61,RetirementPlan!$B:$B,RetirementPlan!$I:$I,0)),-SUMIFS(Assets!$J:$J,Assets!$B:$B,$A61,Assets!$R:$R,"Yes"),0))</f>
        <v/>
      </c>
      <c r="G61" s="9">
        <f>IF(OR($A61="",I61=""),"",MAX(0,(I61-J61)/IF(IFERROR(XLOOKUP($A61,RetirementPlan!$B:$B,RetirementPlan!$M:$M,""),"")="",SWR,IFERROR(XLOOKUP($A61,RetirementPlan!$B:$B,RetirementPlan!$M:$M,""),""))))</f>
        <v/>
      </c>
      <c r="H61" s="9">
        <f>IF(OR($A61="",F61="",G61=""),"",F61-G61)</f>
        <v/>
      </c>
      <c r="I61" s="9">
        <f>IF($A61="","",XLOOKUP($A61,RetirementPlan!$B:$B,RetirementPlan!$E:$E,""))</f>
        <v/>
      </c>
      <c r="J61" s="9">
        <f>IF($A61="","",N(XLOOKUP($A61,RetirementPlan!$B:$B,RetirementPlan!$G:$G,0))+N(XLOOKUP($A61,RetirementPlan!$B:$B,RetirementPlan!$H:$H,0)))</f>
        <v/>
      </c>
      <c r="K61">
        <f>IF($A61="","",IF(NOT(ISBLANK(XLOOKUP($A61,RetirementPlan!$B:$B,RetirementPlan!$N:$N,""))),XLOOKUP($A61,RetirementPlan!$B:$B,RetirementPlan!$N:$N,""),LET(cid,$A61,c,FILTER(LocationPlan!$D:$D,LocationPlan!$C:$C=cid),p,FILTER(LocationPlan!$E:$E,LocationPlan!$C:$C=cid),IFERROR(INDEX(c,MATCH(MAX(p),p,0)),""))))</f>
        <v/>
      </c>
    </row>
    <row r="62">
      <c r="B62">
        <f>IF($A62="","",XLOOKUP($A62,Clients!$A:$A,Clients!$D:$D)&amp;" "&amp;XLOOKUP($A62,Clients!$A:$A,Clients!$E:$E))</f>
        <v/>
      </c>
      <c r="C62">
        <f>IF($A62="","",DATEDIF(XLOOKUP($A62,Clients!$A:$A,Clients!$F:$F),VAL_DATE,"Y"))</f>
        <v/>
      </c>
      <c r="D62">
        <f>IF(OR($A62="",E62=""),"",E62-C62)</f>
        <v/>
      </c>
      <c r="E62">
        <f>IF($A62="","",XLOOKUP($A62,RetirementPlan!$B:$B,RetirementPlan!$C:$C,""))</f>
        <v/>
      </c>
      <c r="F62" s="9">
        <f>IF(OR($A62="",D62=""),"",FV(IF(IFERROR(XLOOKUP($A62,RetirementPlan!$B:$B,RetirementPlan!$K:$K,""),"")="",GROWTH,IFERROR(XLOOKUP($A62,RetirementPlan!$B:$B,RetirementPlan!$K:$K,""),"")),D62,-N(XLOOKUP($A62,RetirementPlan!$B:$B,RetirementPlan!$I:$I,0)),-SUMIFS(Assets!$J:$J,Assets!$B:$B,$A62,Assets!$R:$R,"Yes"),0))</f>
        <v/>
      </c>
      <c r="G62" s="9">
        <f>IF(OR($A62="",I62=""),"",MAX(0,(I62-J62)/IF(IFERROR(XLOOKUP($A62,RetirementPlan!$B:$B,RetirementPlan!$M:$M,""),"")="",SWR,IFERROR(XLOOKUP($A62,RetirementPlan!$B:$B,RetirementPlan!$M:$M,""),""))))</f>
        <v/>
      </c>
      <c r="H62" s="9">
        <f>IF(OR($A62="",F62="",G62=""),"",F62-G62)</f>
        <v/>
      </c>
      <c r="I62" s="9">
        <f>IF($A62="","",XLOOKUP($A62,RetirementPlan!$B:$B,RetirementPlan!$E:$E,""))</f>
        <v/>
      </c>
      <c r="J62" s="9">
        <f>IF($A62="","",N(XLOOKUP($A62,RetirementPlan!$B:$B,RetirementPlan!$G:$G,0))+N(XLOOKUP($A62,RetirementPlan!$B:$B,RetirementPlan!$H:$H,0)))</f>
        <v/>
      </c>
      <c r="K62">
        <f>IF($A62="","",IF(NOT(ISBLANK(XLOOKUP($A62,RetirementPlan!$B:$B,RetirementPlan!$N:$N,""))),XLOOKUP($A62,RetirementPlan!$B:$B,RetirementPlan!$N:$N,""),LET(cid,$A62,c,FILTER(LocationPlan!$D:$D,LocationPlan!$C:$C=cid),p,FILTER(LocationPlan!$E:$E,LocationPlan!$C:$C=cid),IFERROR(INDEX(c,MATCH(MAX(p),p,0)),""))))</f>
        <v/>
      </c>
    </row>
    <row r="63">
      <c r="B63">
        <f>IF($A63="","",XLOOKUP($A63,Clients!$A:$A,Clients!$D:$D)&amp;" "&amp;XLOOKUP($A63,Clients!$A:$A,Clients!$E:$E))</f>
        <v/>
      </c>
      <c r="C63">
        <f>IF($A63="","",DATEDIF(XLOOKUP($A63,Clients!$A:$A,Clients!$F:$F),VAL_DATE,"Y"))</f>
        <v/>
      </c>
      <c r="D63">
        <f>IF(OR($A63="",E63=""),"",E63-C63)</f>
        <v/>
      </c>
      <c r="E63">
        <f>IF($A63="","",XLOOKUP($A63,RetirementPlan!$B:$B,RetirementPlan!$C:$C,""))</f>
        <v/>
      </c>
      <c r="F63" s="9">
        <f>IF(OR($A63="",D63=""),"",FV(IF(IFERROR(XLOOKUP($A63,RetirementPlan!$B:$B,RetirementPlan!$K:$K,""),"")="",GROWTH,IFERROR(XLOOKUP($A63,RetirementPlan!$B:$B,RetirementPlan!$K:$K,""),"")),D63,-N(XLOOKUP($A63,RetirementPlan!$B:$B,RetirementPlan!$I:$I,0)),-SUMIFS(Assets!$J:$J,Assets!$B:$B,$A63,Assets!$R:$R,"Yes"),0))</f>
        <v/>
      </c>
      <c r="G63" s="9">
        <f>IF(OR($A63="",I63=""),"",MAX(0,(I63-J63)/IF(IFERROR(XLOOKUP($A63,RetirementPlan!$B:$B,RetirementPlan!$M:$M,""),"")="",SWR,IFERROR(XLOOKUP($A63,RetirementPlan!$B:$B,RetirementPlan!$M:$M,""),""))))</f>
        <v/>
      </c>
      <c r="H63" s="9">
        <f>IF(OR($A63="",F63="",G63=""),"",F63-G63)</f>
        <v/>
      </c>
      <c r="I63" s="9">
        <f>IF($A63="","",XLOOKUP($A63,RetirementPlan!$B:$B,RetirementPlan!$E:$E,""))</f>
        <v/>
      </c>
      <c r="J63" s="9">
        <f>IF($A63="","",N(XLOOKUP($A63,RetirementPlan!$B:$B,RetirementPlan!$G:$G,0))+N(XLOOKUP($A63,RetirementPlan!$B:$B,RetirementPlan!$H:$H,0)))</f>
        <v/>
      </c>
      <c r="K63">
        <f>IF($A63="","",IF(NOT(ISBLANK(XLOOKUP($A63,RetirementPlan!$B:$B,RetirementPlan!$N:$N,""))),XLOOKUP($A63,RetirementPlan!$B:$B,RetirementPlan!$N:$N,""),LET(cid,$A63,c,FILTER(LocationPlan!$D:$D,LocationPlan!$C:$C=cid),p,FILTER(LocationPlan!$E:$E,LocationPlan!$C:$C=cid),IFERROR(INDEX(c,MATCH(MAX(p),p,0)),""))))</f>
        <v/>
      </c>
    </row>
    <row r="64">
      <c r="B64">
        <f>IF($A64="","",XLOOKUP($A64,Clients!$A:$A,Clients!$D:$D)&amp;" "&amp;XLOOKUP($A64,Clients!$A:$A,Clients!$E:$E))</f>
        <v/>
      </c>
      <c r="C64">
        <f>IF($A64="","",DATEDIF(XLOOKUP($A64,Clients!$A:$A,Clients!$F:$F),VAL_DATE,"Y"))</f>
        <v/>
      </c>
      <c r="D64">
        <f>IF(OR($A64="",E64=""),"",E64-C64)</f>
        <v/>
      </c>
      <c r="E64">
        <f>IF($A64="","",XLOOKUP($A64,RetirementPlan!$B:$B,RetirementPlan!$C:$C,""))</f>
        <v/>
      </c>
      <c r="F64" s="9">
        <f>IF(OR($A64="",D64=""),"",FV(IF(IFERROR(XLOOKUP($A64,RetirementPlan!$B:$B,RetirementPlan!$K:$K,""),"")="",GROWTH,IFERROR(XLOOKUP($A64,RetirementPlan!$B:$B,RetirementPlan!$K:$K,""),"")),D64,-N(XLOOKUP($A64,RetirementPlan!$B:$B,RetirementPlan!$I:$I,0)),-SUMIFS(Assets!$J:$J,Assets!$B:$B,$A64,Assets!$R:$R,"Yes"),0))</f>
        <v/>
      </c>
      <c r="G64" s="9">
        <f>IF(OR($A64="",I64=""),"",MAX(0,(I64-J64)/IF(IFERROR(XLOOKUP($A64,RetirementPlan!$B:$B,RetirementPlan!$M:$M,""),"")="",SWR,IFERROR(XLOOKUP($A64,RetirementPlan!$B:$B,RetirementPlan!$M:$M,""),""))))</f>
        <v/>
      </c>
      <c r="H64" s="9">
        <f>IF(OR($A64="",F64="",G64=""),"",F64-G64)</f>
        <v/>
      </c>
      <c r="I64" s="9">
        <f>IF($A64="","",XLOOKUP($A64,RetirementPlan!$B:$B,RetirementPlan!$E:$E,""))</f>
        <v/>
      </c>
      <c r="J64" s="9">
        <f>IF($A64="","",N(XLOOKUP($A64,RetirementPlan!$B:$B,RetirementPlan!$G:$G,0))+N(XLOOKUP($A64,RetirementPlan!$B:$B,RetirementPlan!$H:$H,0)))</f>
        <v/>
      </c>
      <c r="K64">
        <f>IF($A64="","",IF(NOT(ISBLANK(XLOOKUP($A64,RetirementPlan!$B:$B,RetirementPlan!$N:$N,""))),XLOOKUP($A64,RetirementPlan!$B:$B,RetirementPlan!$N:$N,""),LET(cid,$A64,c,FILTER(LocationPlan!$D:$D,LocationPlan!$C:$C=cid),p,FILTER(LocationPlan!$E:$E,LocationPlan!$C:$C=cid),IFERROR(INDEX(c,MATCH(MAX(p),p,0)),""))))</f>
        <v/>
      </c>
    </row>
    <row r="65">
      <c r="B65">
        <f>IF($A65="","",XLOOKUP($A65,Clients!$A:$A,Clients!$D:$D)&amp;" "&amp;XLOOKUP($A65,Clients!$A:$A,Clients!$E:$E))</f>
        <v/>
      </c>
      <c r="C65">
        <f>IF($A65="","",DATEDIF(XLOOKUP($A65,Clients!$A:$A,Clients!$F:$F),VAL_DATE,"Y"))</f>
        <v/>
      </c>
      <c r="D65">
        <f>IF(OR($A65="",E65=""),"",E65-C65)</f>
        <v/>
      </c>
      <c r="E65">
        <f>IF($A65="","",XLOOKUP($A65,RetirementPlan!$B:$B,RetirementPlan!$C:$C,""))</f>
        <v/>
      </c>
      <c r="F65" s="9">
        <f>IF(OR($A65="",D65=""),"",FV(IF(IFERROR(XLOOKUP($A65,RetirementPlan!$B:$B,RetirementPlan!$K:$K,""),"")="",GROWTH,IFERROR(XLOOKUP($A65,RetirementPlan!$B:$B,RetirementPlan!$K:$K,""),"")),D65,-N(XLOOKUP($A65,RetirementPlan!$B:$B,RetirementPlan!$I:$I,0)),-SUMIFS(Assets!$J:$J,Assets!$B:$B,$A65,Assets!$R:$R,"Yes"),0))</f>
        <v/>
      </c>
      <c r="G65" s="9">
        <f>IF(OR($A65="",I65=""),"",MAX(0,(I65-J65)/IF(IFERROR(XLOOKUP($A65,RetirementPlan!$B:$B,RetirementPlan!$M:$M,""),"")="",SWR,IFERROR(XLOOKUP($A65,RetirementPlan!$B:$B,RetirementPlan!$M:$M,""),""))))</f>
        <v/>
      </c>
      <c r="H65" s="9">
        <f>IF(OR($A65="",F65="",G65=""),"",F65-G65)</f>
        <v/>
      </c>
      <c r="I65" s="9">
        <f>IF($A65="","",XLOOKUP($A65,RetirementPlan!$B:$B,RetirementPlan!$E:$E,""))</f>
        <v/>
      </c>
      <c r="J65" s="9">
        <f>IF($A65="","",N(XLOOKUP($A65,RetirementPlan!$B:$B,RetirementPlan!$G:$G,0))+N(XLOOKUP($A65,RetirementPlan!$B:$B,RetirementPlan!$H:$H,0)))</f>
        <v/>
      </c>
      <c r="K65">
        <f>IF($A65="","",IF(NOT(ISBLANK(XLOOKUP($A65,RetirementPlan!$B:$B,RetirementPlan!$N:$N,""))),XLOOKUP($A65,RetirementPlan!$B:$B,RetirementPlan!$N:$N,""),LET(cid,$A65,c,FILTER(LocationPlan!$D:$D,LocationPlan!$C:$C=cid),p,FILTER(LocationPlan!$E:$E,LocationPlan!$C:$C=cid),IFERROR(INDEX(c,MATCH(MAX(p),p,0)),""))))</f>
        <v/>
      </c>
    </row>
    <row r="66">
      <c r="B66">
        <f>IF($A66="","",XLOOKUP($A66,Clients!$A:$A,Clients!$D:$D)&amp;" "&amp;XLOOKUP($A66,Clients!$A:$A,Clients!$E:$E))</f>
        <v/>
      </c>
      <c r="C66">
        <f>IF($A66="","",DATEDIF(XLOOKUP($A66,Clients!$A:$A,Clients!$F:$F),VAL_DATE,"Y"))</f>
        <v/>
      </c>
      <c r="D66">
        <f>IF(OR($A66="",E66=""),"",E66-C66)</f>
        <v/>
      </c>
      <c r="E66">
        <f>IF($A66="","",XLOOKUP($A66,RetirementPlan!$B:$B,RetirementPlan!$C:$C,""))</f>
        <v/>
      </c>
      <c r="F66" s="9">
        <f>IF(OR($A66="",D66=""),"",FV(IF(IFERROR(XLOOKUP($A66,RetirementPlan!$B:$B,RetirementPlan!$K:$K,""),"")="",GROWTH,IFERROR(XLOOKUP($A66,RetirementPlan!$B:$B,RetirementPlan!$K:$K,""),"")),D66,-N(XLOOKUP($A66,RetirementPlan!$B:$B,RetirementPlan!$I:$I,0)),-SUMIFS(Assets!$J:$J,Assets!$B:$B,$A66,Assets!$R:$R,"Yes"),0))</f>
        <v/>
      </c>
      <c r="G66" s="9">
        <f>IF(OR($A66="",I66=""),"",MAX(0,(I66-J66)/IF(IFERROR(XLOOKUP($A66,RetirementPlan!$B:$B,RetirementPlan!$M:$M,""),"")="",SWR,IFERROR(XLOOKUP($A66,RetirementPlan!$B:$B,RetirementPlan!$M:$M,""),""))))</f>
        <v/>
      </c>
      <c r="H66" s="9">
        <f>IF(OR($A66="",F66="",G66=""),"",F66-G66)</f>
        <v/>
      </c>
      <c r="I66" s="9">
        <f>IF($A66="","",XLOOKUP($A66,RetirementPlan!$B:$B,RetirementPlan!$E:$E,""))</f>
        <v/>
      </c>
      <c r="J66" s="9">
        <f>IF($A66="","",N(XLOOKUP($A66,RetirementPlan!$B:$B,RetirementPlan!$G:$G,0))+N(XLOOKUP($A66,RetirementPlan!$B:$B,RetirementPlan!$H:$H,0)))</f>
        <v/>
      </c>
      <c r="K66">
        <f>IF($A66="","",IF(NOT(ISBLANK(XLOOKUP($A66,RetirementPlan!$B:$B,RetirementPlan!$N:$N,""))),XLOOKUP($A66,RetirementPlan!$B:$B,RetirementPlan!$N:$N,""),LET(cid,$A66,c,FILTER(LocationPlan!$D:$D,LocationPlan!$C:$C=cid),p,FILTER(LocationPlan!$E:$E,LocationPlan!$C:$C=cid),IFERROR(INDEX(c,MATCH(MAX(p),p,0)),""))))</f>
        <v/>
      </c>
    </row>
    <row r="67">
      <c r="B67">
        <f>IF($A67="","",XLOOKUP($A67,Clients!$A:$A,Clients!$D:$D)&amp;" "&amp;XLOOKUP($A67,Clients!$A:$A,Clients!$E:$E))</f>
        <v/>
      </c>
      <c r="C67">
        <f>IF($A67="","",DATEDIF(XLOOKUP($A67,Clients!$A:$A,Clients!$F:$F),VAL_DATE,"Y"))</f>
        <v/>
      </c>
      <c r="D67">
        <f>IF(OR($A67="",E67=""),"",E67-C67)</f>
        <v/>
      </c>
      <c r="E67">
        <f>IF($A67="","",XLOOKUP($A67,RetirementPlan!$B:$B,RetirementPlan!$C:$C,""))</f>
        <v/>
      </c>
      <c r="F67" s="9">
        <f>IF(OR($A67="",D67=""),"",FV(IF(IFERROR(XLOOKUP($A67,RetirementPlan!$B:$B,RetirementPlan!$K:$K,""),"")="",GROWTH,IFERROR(XLOOKUP($A67,RetirementPlan!$B:$B,RetirementPlan!$K:$K,""),"")),D67,-N(XLOOKUP($A67,RetirementPlan!$B:$B,RetirementPlan!$I:$I,0)),-SUMIFS(Assets!$J:$J,Assets!$B:$B,$A67,Assets!$R:$R,"Yes"),0))</f>
        <v/>
      </c>
      <c r="G67" s="9">
        <f>IF(OR($A67="",I67=""),"",MAX(0,(I67-J67)/IF(IFERROR(XLOOKUP($A67,RetirementPlan!$B:$B,RetirementPlan!$M:$M,""),"")="",SWR,IFERROR(XLOOKUP($A67,RetirementPlan!$B:$B,RetirementPlan!$M:$M,""),""))))</f>
        <v/>
      </c>
      <c r="H67" s="9">
        <f>IF(OR($A67="",F67="",G67=""),"",F67-G67)</f>
        <v/>
      </c>
      <c r="I67" s="9">
        <f>IF($A67="","",XLOOKUP($A67,RetirementPlan!$B:$B,RetirementPlan!$E:$E,""))</f>
        <v/>
      </c>
      <c r="J67" s="9">
        <f>IF($A67="","",N(XLOOKUP($A67,RetirementPlan!$B:$B,RetirementPlan!$G:$G,0))+N(XLOOKUP($A67,RetirementPlan!$B:$B,RetirementPlan!$H:$H,0)))</f>
        <v/>
      </c>
      <c r="K67">
        <f>IF($A67="","",IF(NOT(ISBLANK(XLOOKUP($A67,RetirementPlan!$B:$B,RetirementPlan!$N:$N,""))),XLOOKUP($A67,RetirementPlan!$B:$B,RetirementPlan!$N:$N,""),LET(cid,$A67,c,FILTER(LocationPlan!$D:$D,LocationPlan!$C:$C=cid),p,FILTER(LocationPlan!$E:$E,LocationPlan!$C:$C=cid),IFERROR(INDEX(c,MATCH(MAX(p),p,0)),""))))</f>
        <v/>
      </c>
    </row>
    <row r="68">
      <c r="B68">
        <f>IF($A68="","",XLOOKUP($A68,Clients!$A:$A,Clients!$D:$D)&amp;" "&amp;XLOOKUP($A68,Clients!$A:$A,Clients!$E:$E))</f>
        <v/>
      </c>
      <c r="C68">
        <f>IF($A68="","",DATEDIF(XLOOKUP($A68,Clients!$A:$A,Clients!$F:$F),VAL_DATE,"Y"))</f>
        <v/>
      </c>
      <c r="D68">
        <f>IF(OR($A68="",E68=""),"",E68-C68)</f>
        <v/>
      </c>
      <c r="E68">
        <f>IF($A68="","",XLOOKUP($A68,RetirementPlan!$B:$B,RetirementPlan!$C:$C,""))</f>
        <v/>
      </c>
      <c r="F68" s="9">
        <f>IF(OR($A68="",D68=""),"",FV(IF(IFERROR(XLOOKUP($A68,RetirementPlan!$B:$B,RetirementPlan!$K:$K,""),"")="",GROWTH,IFERROR(XLOOKUP($A68,RetirementPlan!$B:$B,RetirementPlan!$K:$K,""),"")),D68,-N(XLOOKUP($A68,RetirementPlan!$B:$B,RetirementPlan!$I:$I,0)),-SUMIFS(Assets!$J:$J,Assets!$B:$B,$A68,Assets!$R:$R,"Yes"),0))</f>
        <v/>
      </c>
      <c r="G68" s="9">
        <f>IF(OR($A68="",I68=""),"",MAX(0,(I68-J68)/IF(IFERROR(XLOOKUP($A68,RetirementPlan!$B:$B,RetirementPlan!$M:$M,""),"")="",SWR,IFERROR(XLOOKUP($A68,RetirementPlan!$B:$B,RetirementPlan!$M:$M,""),""))))</f>
        <v/>
      </c>
      <c r="H68" s="9">
        <f>IF(OR($A68="",F68="",G68=""),"",F68-G68)</f>
        <v/>
      </c>
      <c r="I68" s="9">
        <f>IF($A68="","",XLOOKUP($A68,RetirementPlan!$B:$B,RetirementPlan!$E:$E,""))</f>
        <v/>
      </c>
      <c r="J68" s="9">
        <f>IF($A68="","",N(XLOOKUP($A68,RetirementPlan!$B:$B,RetirementPlan!$G:$G,0))+N(XLOOKUP($A68,RetirementPlan!$B:$B,RetirementPlan!$H:$H,0)))</f>
        <v/>
      </c>
      <c r="K68">
        <f>IF($A68="","",IF(NOT(ISBLANK(XLOOKUP($A68,RetirementPlan!$B:$B,RetirementPlan!$N:$N,""))),XLOOKUP($A68,RetirementPlan!$B:$B,RetirementPlan!$N:$N,""),LET(cid,$A68,c,FILTER(LocationPlan!$D:$D,LocationPlan!$C:$C=cid),p,FILTER(LocationPlan!$E:$E,LocationPlan!$C:$C=cid),IFERROR(INDEX(c,MATCH(MAX(p),p,0)),""))))</f>
        <v/>
      </c>
    </row>
    <row r="69">
      <c r="B69">
        <f>IF($A69="","",XLOOKUP($A69,Clients!$A:$A,Clients!$D:$D)&amp;" "&amp;XLOOKUP($A69,Clients!$A:$A,Clients!$E:$E))</f>
        <v/>
      </c>
      <c r="C69">
        <f>IF($A69="","",DATEDIF(XLOOKUP($A69,Clients!$A:$A,Clients!$F:$F),VAL_DATE,"Y"))</f>
        <v/>
      </c>
      <c r="D69">
        <f>IF(OR($A69="",E69=""),"",E69-C69)</f>
        <v/>
      </c>
      <c r="E69">
        <f>IF($A69="","",XLOOKUP($A69,RetirementPlan!$B:$B,RetirementPlan!$C:$C,""))</f>
        <v/>
      </c>
      <c r="F69" s="9">
        <f>IF(OR($A69="",D69=""),"",FV(IF(IFERROR(XLOOKUP($A69,RetirementPlan!$B:$B,RetirementPlan!$K:$K,""),"")="",GROWTH,IFERROR(XLOOKUP($A69,RetirementPlan!$B:$B,RetirementPlan!$K:$K,""),"")),D69,-N(XLOOKUP($A69,RetirementPlan!$B:$B,RetirementPlan!$I:$I,0)),-SUMIFS(Assets!$J:$J,Assets!$B:$B,$A69,Assets!$R:$R,"Yes"),0))</f>
        <v/>
      </c>
      <c r="G69" s="9">
        <f>IF(OR($A69="",I69=""),"",MAX(0,(I69-J69)/IF(IFERROR(XLOOKUP($A69,RetirementPlan!$B:$B,RetirementPlan!$M:$M,""),"")="",SWR,IFERROR(XLOOKUP($A69,RetirementPlan!$B:$B,RetirementPlan!$M:$M,""),""))))</f>
        <v/>
      </c>
      <c r="H69" s="9">
        <f>IF(OR($A69="",F69="",G69=""),"",F69-G69)</f>
        <v/>
      </c>
      <c r="I69" s="9">
        <f>IF($A69="","",XLOOKUP($A69,RetirementPlan!$B:$B,RetirementPlan!$E:$E,""))</f>
        <v/>
      </c>
      <c r="J69" s="9">
        <f>IF($A69="","",N(XLOOKUP($A69,RetirementPlan!$B:$B,RetirementPlan!$G:$G,0))+N(XLOOKUP($A69,RetirementPlan!$B:$B,RetirementPlan!$H:$H,0)))</f>
        <v/>
      </c>
      <c r="K69">
        <f>IF($A69="","",IF(NOT(ISBLANK(XLOOKUP($A69,RetirementPlan!$B:$B,RetirementPlan!$N:$N,""))),XLOOKUP($A69,RetirementPlan!$B:$B,RetirementPlan!$N:$N,""),LET(cid,$A69,c,FILTER(LocationPlan!$D:$D,LocationPlan!$C:$C=cid),p,FILTER(LocationPlan!$E:$E,LocationPlan!$C:$C=cid),IFERROR(INDEX(c,MATCH(MAX(p),p,0)),""))))</f>
        <v/>
      </c>
    </row>
    <row r="70">
      <c r="B70">
        <f>IF($A70="","",XLOOKUP($A70,Clients!$A:$A,Clients!$D:$D)&amp;" "&amp;XLOOKUP($A70,Clients!$A:$A,Clients!$E:$E))</f>
        <v/>
      </c>
      <c r="C70">
        <f>IF($A70="","",DATEDIF(XLOOKUP($A70,Clients!$A:$A,Clients!$F:$F),VAL_DATE,"Y"))</f>
        <v/>
      </c>
      <c r="D70">
        <f>IF(OR($A70="",E70=""),"",E70-C70)</f>
        <v/>
      </c>
      <c r="E70">
        <f>IF($A70="","",XLOOKUP($A70,RetirementPlan!$B:$B,RetirementPlan!$C:$C,""))</f>
        <v/>
      </c>
      <c r="F70" s="9">
        <f>IF(OR($A70="",D70=""),"",FV(IF(IFERROR(XLOOKUP($A70,RetirementPlan!$B:$B,RetirementPlan!$K:$K,""),"")="",GROWTH,IFERROR(XLOOKUP($A70,RetirementPlan!$B:$B,RetirementPlan!$K:$K,""),"")),D70,-N(XLOOKUP($A70,RetirementPlan!$B:$B,RetirementPlan!$I:$I,0)),-SUMIFS(Assets!$J:$J,Assets!$B:$B,$A70,Assets!$R:$R,"Yes"),0))</f>
        <v/>
      </c>
      <c r="G70" s="9">
        <f>IF(OR($A70="",I70=""),"",MAX(0,(I70-J70)/IF(IFERROR(XLOOKUP($A70,RetirementPlan!$B:$B,RetirementPlan!$M:$M,""),"")="",SWR,IFERROR(XLOOKUP($A70,RetirementPlan!$B:$B,RetirementPlan!$M:$M,""),""))))</f>
        <v/>
      </c>
      <c r="H70" s="9">
        <f>IF(OR($A70="",F70="",G70=""),"",F70-G70)</f>
        <v/>
      </c>
      <c r="I70" s="9">
        <f>IF($A70="","",XLOOKUP($A70,RetirementPlan!$B:$B,RetirementPlan!$E:$E,""))</f>
        <v/>
      </c>
      <c r="J70" s="9">
        <f>IF($A70="","",N(XLOOKUP($A70,RetirementPlan!$B:$B,RetirementPlan!$G:$G,0))+N(XLOOKUP($A70,RetirementPlan!$B:$B,RetirementPlan!$H:$H,0)))</f>
        <v/>
      </c>
      <c r="K70">
        <f>IF($A70="","",IF(NOT(ISBLANK(XLOOKUP($A70,RetirementPlan!$B:$B,RetirementPlan!$N:$N,""))),XLOOKUP($A70,RetirementPlan!$B:$B,RetirementPlan!$N:$N,""),LET(cid,$A70,c,FILTER(LocationPlan!$D:$D,LocationPlan!$C:$C=cid),p,FILTER(LocationPlan!$E:$E,LocationPlan!$C:$C=cid),IFERROR(INDEX(c,MATCH(MAX(p),p,0)),""))))</f>
        <v/>
      </c>
    </row>
    <row r="71">
      <c r="B71">
        <f>IF($A71="","",XLOOKUP($A71,Clients!$A:$A,Clients!$D:$D)&amp;" "&amp;XLOOKUP($A71,Clients!$A:$A,Clients!$E:$E))</f>
        <v/>
      </c>
      <c r="C71">
        <f>IF($A71="","",DATEDIF(XLOOKUP($A71,Clients!$A:$A,Clients!$F:$F),VAL_DATE,"Y"))</f>
        <v/>
      </c>
      <c r="D71">
        <f>IF(OR($A71="",E71=""),"",E71-C71)</f>
        <v/>
      </c>
      <c r="E71">
        <f>IF($A71="","",XLOOKUP($A71,RetirementPlan!$B:$B,RetirementPlan!$C:$C,""))</f>
        <v/>
      </c>
      <c r="F71" s="9">
        <f>IF(OR($A71="",D71=""),"",FV(IF(IFERROR(XLOOKUP($A71,RetirementPlan!$B:$B,RetirementPlan!$K:$K,""),"")="",GROWTH,IFERROR(XLOOKUP($A71,RetirementPlan!$B:$B,RetirementPlan!$K:$K,""),"")),D71,-N(XLOOKUP($A71,RetirementPlan!$B:$B,RetirementPlan!$I:$I,0)),-SUMIFS(Assets!$J:$J,Assets!$B:$B,$A71,Assets!$R:$R,"Yes"),0))</f>
        <v/>
      </c>
      <c r="G71" s="9">
        <f>IF(OR($A71="",I71=""),"",MAX(0,(I71-J71)/IF(IFERROR(XLOOKUP($A71,RetirementPlan!$B:$B,RetirementPlan!$M:$M,""),"")="",SWR,IFERROR(XLOOKUP($A71,RetirementPlan!$B:$B,RetirementPlan!$M:$M,""),""))))</f>
        <v/>
      </c>
      <c r="H71" s="9">
        <f>IF(OR($A71="",F71="",G71=""),"",F71-G71)</f>
        <v/>
      </c>
      <c r="I71" s="9">
        <f>IF($A71="","",XLOOKUP($A71,RetirementPlan!$B:$B,RetirementPlan!$E:$E,""))</f>
        <v/>
      </c>
      <c r="J71" s="9">
        <f>IF($A71="","",N(XLOOKUP($A71,RetirementPlan!$B:$B,RetirementPlan!$G:$G,0))+N(XLOOKUP($A71,RetirementPlan!$B:$B,RetirementPlan!$H:$H,0)))</f>
        <v/>
      </c>
      <c r="K71">
        <f>IF($A71="","",IF(NOT(ISBLANK(XLOOKUP($A71,RetirementPlan!$B:$B,RetirementPlan!$N:$N,""))),XLOOKUP($A71,RetirementPlan!$B:$B,RetirementPlan!$N:$N,""),LET(cid,$A71,c,FILTER(LocationPlan!$D:$D,LocationPlan!$C:$C=cid),p,FILTER(LocationPlan!$E:$E,LocationPlan!$C:$C=cid),IFERROR(INDEX(c,MATCH(MAX(p),p,0)),""))))</f>
        <v/>
      </c>
    </row>
    <row r="72">
      <c r="B72">
        <f>IF($A72="","",XLOOKUP($A72,Clients!$A:$A,Clients!$D:$D)&amp;" "&amp;XLOOKUP($A72,Clients!$A:$A,Clients!$E:$E))</f>
        <v/>
      </c>
      <c r="C72">
        <f>IF($A72="","",DATEDIF(XLOOKUP($A72,Clients!$A:$A,Clients!$F:$F),VAL_DATE,"Y"))</f>
        <v/>
      </c>
      <c r="D72">
        <f>IF(OR($A72="",E72=""),"",E72-C72)</f>
        <v/>
      </c>
      <c r="E72">
        <f>IF($A72="","",XLOOKUP($A72,RetirementPlan!$B:$B,RetirementPlan!$C:$C,""))</f>
        <v/>
      </c>
      <c r="F72" s="9">
        <f>IF(OR($A72="",D72=""),"",FV(IF(IFERROR(XLOOKUP($A72,RetirementPlan!$B:$B,RetirementPlan!$K:$K,""),"")="",GROWTH,IFERROR(XLOOKUP($A72,RetirementPlan!$B:$B,RetirementPlan!$K:$K,""),"")),D72,-N(XLOOKUP($A72,RetirementPlan!$B:$B,RetirementPlan!$I:$I,0)),-SUMIFS(Assets!$J:$J,Assets!$B:$B,$A72,Assets!$R:$R,"Yes"),0))</f>
        <v/>
      </c>
      <c r="G72" s="9">
        <f>IF(OR($A72="",I72=""),"",MAX(0,(I72-J72)/IF(IFERROR(XLOOKUP($A72,RetirementPlan!$B:$B,RetirementPlan!$M:$M,""),"")="",SWR,IFERROR(XLOOKUP($A72,RetirementPlan!$B:$B,RetirementPlan!$M:$M,""),""))))</f>
        <v/>
      </c>
      <c r="H72" s="9">
        <f>IF(OR($A72="",F72="",G72=""),"",F72-G72)</f>
        <v/>
      </c>
      <c r="I72" s="9">
        <f>IF($A72="","",XLOOKUP($A72,RetirementPlan!$B:$B,RetirementPlan!$E:$E,""))</f>
        <v/>
      </c>
      <c r="J72" s="9">
        <f>IF($A72="","",N(XLOOKUP($A72,RetirementPlan!$B:$B,RetirementPlan!$G:$G,0))+N(XLOOKUP($A72,RetirementPlan!$B:$B,RetirementPlan!$H:$H,0)))</f>
        <v/>
      </c>
      <c r="K72">
        <f>IF($A72="","",IF(NOT(ISBLANK(XLOOKUP($A72,RetirementPlan!$B:$B,RetirementPlan!$N:$N,""))),XLOOKUP($A72,RetirementPlan!$B:$B,RetirementPlan!$N:$N,""),LET(cid,$A72,c,FILTER(LocationPlan!$D:$D,LocationPlan!$C:$C=cid),p,FILTER(LocationPlan!$E:$E,LocationPlan!$C:$C=cid),IFERROR(INDEX(c,MATCH(MAX(p),p,0)),""))))</f>
        <v/>
      </c>
    </row>
    <row r="73">
      <c r="B73">
        <f>IF($A73="","",XLOOKUP($A73,Clients!$A:$A,Clients!$D:$D)&amp;" "&amp;XLOOKUP($A73,Clients!$A:$A,Clients!$E:$E))</f>
        <v/>
      </c>
      <c r="C73">
        <f>IF($A73="","",DATEDIF(XLOOKUP($A73,Clients!$A:$A,Clients!$F:$F),VAL_DATE,"Y"))</f>
        <v/>
      </c>
      <c r="D73">
        <f>IF(OR($A73="",E73=""),"",E73-C73)</f>
        <v/>
      </c>
      <c r="E73">
        <f>IF($A73="","",XLOOKUP($A73,RetirementPlan!$B:$B,RetirementPlan!$C:$C,""))</f>
        <v/>
      </c>
      <c r="F73" s="9">
        <f>IF(OR($A73="",D73=""),"",FV(IF(IFERROR(XLOOKUP($A73,RetirementPlan!$B:$B,RetirementPlan!$K:$K,""),"")="",GROWTH,IFERROR(XLOOKUP($A73,RetirementPlan!$B:$B,RetirementPlan!$K:$K,""),"")),D73,-N(XLOOKUP($A73,RetirementPlan!$B:$B,RetirementPlan!$I:$I,0)),-SUMIFS(Assets!$J:$J,Assets!$B:$B,$A73,Assets!$R:$R,"Yes"),0))</f>
        <v/>
      </c>
      <c r="G73" s="9">
        <f>IF(OR($A73="",I73=""),"",MAX(0,(I73-J73)/IF(IFERROR(XLOOKUP($A73,RetirementPlan!$B:$B,RetirementPlan!$M:$M,""),"")="",SWR,IFERROR(XLOOKUP($A73,RetirementPlan!$B:$B,RetirementPlan!$M:$M,""),""))))</f>
        <v/>
      </c>
      <c r="H73" s="9">
        <f>IF(OR($A73="",F73="",G73=""),"",F73-G73)</f>
        <v/>
      </c>
      <c r="I73" s="9">
        <f>IF($A73="","",XLOOKUP($A73,RetirementPlan!$B:$B,RetirementPlan!$E:$E,""))</f>
        <v/>
      </c>
      <c r="J73" s="9">
        <f>IF($A73="","",N(XLOOKUP($A73,RetirementPlan!$B:$B,RetirementPlan!$G:$G,0))+N(XLOOKUP($A73,RetirementPlan!$B:$B,RetirementPlan!$H:$H,0)))</f>
        <v/>
      </c>
      <c r="K73">
        <f>IF($A73="","",IF(NOT(ISBLANK(XLOOKUP($A73,RetirementPlan!$B:$B,RetirementPlan!$N:$N,""))),XLOOKUP($A73,RetirementPlan!$B:$B,RetirementPlan!$N:$N,""),LET(cid,$A73,c,FILTER(LocationPlan!$D:$D,LocationPlan!$C:$C=cid),p,FILTER(LocationPlan!$E:$E,LocationPlan!$C:$C=cid),IFERROR(INDEX(c,MATCH(MAX(p),p,0)),""))))</f>
        <v/>
      </c>
    </row>
    <row r="74">
      <c r="B74">
        <f>IF($A74="","",XLOOKUP($A74,Clients!$A:$A,Clients!$D:$D)&amp;" "&amp;XLOOKUP($A74,Clients!$A:$A,Clients!$E:$E))</f>
        <v/>
      </c>
      <c r="C74">
        <f>IF($A74="","",DATEDIF(XLOOKUP($A74,Clients!$A:$A,Clients!$F:$F),VAL_DATE,"Y"))</f>
        <v/>
      </c>
      <c r="D74">
        <f>IF(OR($A74="",E74=""),"",E74-C74)</f>
        <v/>
      </c>
      <c r="E74">
        <f>IF($A74="","",XLOOKUP($A74,RetirementPlan!$B:$B,RetirementPlan!$C:$C,""))</f>
        <v/>
      </c>
      <c r="F74" s="9">
        <f>IF(OR($A74="",D74=""),"",FV(IF(IFERROR(XLOOKUP($A74,RetirementPlan!$B:$B,RetirementPlan!$K:$K,""),"")="",GROWTH,IFERROR(XLOOKUP($A74,RetirementPlan!$B:$B,RetirementPlan!$K:$K,""),"")),D74,-N(XLOOKUP($A74,RetirementPlan!$B:$B,RetirementPlan!$I:$I,0)),-SUMIFS(Assets!$J:$J,Assets!$B:$B,$A74,Assets!$R:$R,"Yes"),0))</f>
        <v/>
      </c>
      <c r="G74" s="9">
        <f>IF(OR($A74="",I74=""),"",MAX(0,(I74-J74)/IF(IFERROR(XLOOKUP($A74,RetirementPlan!$B:$B,RetirementPlan!$M:$M,""),"")="",SWR,IFERROR(XLOOKUP($A74,RetirementPlan!$B:$B,RetirementPlan!$M:$M,""),""))))</f>
        <v/>
      </c>
      <c r="H74" s="9">
        <f>IF(OR($A74="",F74="",G74=""),"",F74-G74)</f>
        <v/>
      </c>
      <c r="I74" s="9">
        <f>IF($A74="","",XLOOKUP($A74,RetirementPlan!$B:$B,RetirementPlan!$E:$E,""))</f>
        <v/>
      </c>
      <c r="J74" s="9">
        <f>IF($A74="","",N(XLOOKUP($A74,RetirementPlan!$B:$B,RetirementPlan!$G:$G,0))+N(XLOOKUP($A74,RetirementPlan!$B:$B,RetirementPlan!$H:$H,0)))</f>
        <v/>
      </c>
      <c r="K74">
        <f>IF($A74="","",IF(NOT(ISBLANK(XLOOKUP($A74,RetirementPlan!$B:$B,RetirementPlan!$N:$N,""))),XLOOKUP($A74,RetirementPlan!$B:$B,RetirementPlan!$N:$N,""),LET(cid,$A74,c,FILTER(LocationPlan!$D:$D,LocationPlan!$C:$C=cid),p,FILTER(LocationPlan!$E:$E,LocationPlan!$C:$C=cid),IFERROR(INDEX(c,MATCH(MAX(p),p,0)),""))))</f>
        <v/>
      </c>
    </row>
    <row r="75">
      <c r="B75">
        <f>IF($A75="","",XLOOKUP($A75,Clients!$A:$A,Clients!$D:$D)&amp;" "&amp;XLOOKUP($A75,Clients!$A:$A,Clients!$E:$E))</f>
        <v/>
      </c>
      <c r="C75">
        <f>IF($A75="","",DATEDIF(XLOOKUP($A75,Clients!$A:$A,Clients!$F:$F),VAL_DATE,"Y"))</f>
        <v/>
      </c>
      <c r="D75">
        <f>IF(OR($A75="",E75=""),"",E75-C75)</f>
        <v/>
      </c>
      <c r="E75">
        <f>IF($A75="","",XLOOKUP($A75,RetirementPlan!$B:$B,RetirementPlan!$C:$C,""))</f>
        <v/>
      </c>
      <c r="F75" s="9">
        <f>IF(OR($A75="",D75=""),"",FV(IF(IFERROR(XLOOKUP($A75,RetirementPlan!$B:$B,RetirementPlan!$K:$K,""),"")="",GROWTH,IFERROR(XLOOKUP($A75,RetirementPlan!$B:$B,RetirementPlan!$K:$K,""),"")),D75,-N(XLOOKUP($A75,RetirementPlan!$B:$B,RetirementPlan!$I:$I,0)),-SUMIFS(Assets!$J:$J,Assets!$B:$B,$A75,Assets!$R:$R,"Yes"),0))</f>
        <v/>
      </c>
      <c r="G75" s="9">
        <f>IF(OR($A75="",I75=""),"",MAX(0,(I75-J75)/IF(IFERROR(XLOOKUP($A75,RetirementPlan!$B:$B,RetirementPlan!$M:$M,""),"")="",SWR,IFERROR(XLOOKUP($A75,RetirementPlan!$B:$B,RetirementPlan!$M:$M,""),""))))</f>
        <v/>
      </c>
      <c r="H75" s="9">
        <f>IF(OR($A75="",F75="",G75=""),"",F75-G75)</f>
        <v/>
      </c>
      <c r="I75" s="9">
        <f>IF($A75="","",XLOOKUP($A75,RetirementPlan!$B:$B,RetirementPlan!$E:$E,""))</f>
        <v/>
      </c>
      <c r="J75" s="9">
        <f>IF($A75="","",N(XLOOKUP($A75,RetirementPlan!$B:$B,RetirementPlan!$G:$G,0))+N(XLOOKUP($A75,RetirementPlan!$B:$B,RetirementPlan!$H:$H,0)))</f>
        <v/>
      </c>
      <c r="K75">
        <f>IF($A75="","",IF(NOT(ISBLANK(XLOOKUP($A75,RetirementPlan!$B:$B,RetirementPlan!$N:$N,""))),XLOOKUP($A75,RetirementPlan!$B:$B,RetirementPlan!$N:$N,""),LET(cid,$A75,c,FILTER(LocationPlan!$D:$D,LocationPlan!$C:$C=cid),p,FILTER(LocationPlan!$E:$E,LocationPlan!$C:$C=cid),IFERROR(INDEX(c,MATCH(MAX(p),p,0)),""))))</f>
        <v/>
      </c>
    </row>
    <row r="76">
      <c r="B76">
        <f>IF($A76="","",XLOOKUP($A76,Clients!$A:$A,Clients!$D:$D)&amp;" "&amp;XLOOKUP($A76,Clients!$A:$A,Clients!$E:$E))</f>
        <v/>
      </c>
      <c r="C76">
        <f>IF($A76="","",DATEDIF(XLOOKUP($A76,Clients!$A:$A,Clients!$F:$F),VAL_DATE,"Y"))</f>
        <v/>
      </c>
      <c r="D76">
        <f>IF(OR($A76="",E76=""),"",E76-C76)</f>
        <v/>
      </c>
      <c r="E76">
        <f>IF($A76="","",XLOOKUP($A76,RetirementPlan!$B:$B,RetirementPlan!$C:$C,""))</f>
        <v/>
      </c>
      <c r="F76" s="9">
        <f>IF(OR($A76="",D76=""),"",FV(IF(IFERROR(XLOOKUP($A76,RetirementPlan!$B:$B,RetirementPlan!$K:$K,""),"")="",GROWTH,IFERROR(XLOOKUP($A76,RetirementPlan!$B:$B,RetirementPlan!$K:$K,""),"")),D76,-N(XLOOKUP($A76,RetirementPlan!$B:$B,RetirementPlan!$I:$I,0)),-SUMIFS(Assets!$J:$J,Assets!$B:$B,$A76,Assets!$R:$R,"Yes"),0))</f>
        <v/>
      </c>
      <c r="G76" s="9">
        <f>IF(OR($A76="",I76=""),"",MAX(0,(I76-J76)/IF(IFERROR(XLOOKUP($A76,RetirementPlan!$B:$B,RetirementPlan!$M:$M,""),"")="",SWR,IFERROR(XLOOKUP($A76,RetirementPlan!$B:$B,RetirementPlan!$M:$M,""),""))))</f>
        <v/>
      </c>
      <c r="H76" s="9">
        <f>IF(OR($A76="",F76="",G76=""),"",F76-G76)</f>
        <v/>
      </c>
      <c r="I76" s="9">
        <f>IF($A76="","",XLOOKUP($A76,RetirementPlan!$B:$B,RetirementPlan!$E:$E,""))</f>
        <v/>
      </c>
      <c r="J76" s="9">
        <f>IF($A76="","",N(XLOOKUP($A76,RetirementPlan!$B:$B,RetirementPlan!$G:$G,0))+N(XLOOKUP($A76,RetirementPlan!$B:$B,RetirementPlan!$H:$H,0)))</f>
        <v/>
      </c>
      <c r="K76">
        <f>IF($A76="","",IF(NOT(ISBLANK(XLOOKUP($A76,RetirementPlan!$B:$B,RetirementPlan!$N:$N,""))),XLOOKUP($A76,RetirementPlan!$B:$B,RetirementPlan!$N:$N,""),LET(cid,$A76,c,FILTER(LocationPlan!$D:$D,LocationPlan!$C:$C=cid),p,FILTER(LocationPlan!$E:$E,LocationPlan!$C:$C=cid),IFERROR(INDEX(c,MATCH(MAX(p),p,0)),""))))</f>
        <v/>
      </c>
    </row>
    <row r="77">
      <c r="B77">
        <f>IF($A77="","",XLOOKUP($A77,Clients!$A:$A,Clients!$D:$D)&amp;" "&amp;XLOOKUP($A77,Clients!$A:$A,Clients!$E:$E))</f>
        <v/>
      </c>
      <c r="C77">
        <f>IF($A77="","",DATEDIF(XLOOKUP($A77,Clients!$A:$A,Clients!$F:$F),VAL_DATE,"Y"))</f>
        <v/>
      </c>
      <c r="D77">
        <f>IF(OR($A77="",E77=""),"",E77-C77)</f>
        <v/>
      </c>
      <c r="E77">
        <f>IF($A77="","",XLOOKUP($A77,RetirementPlan!$B:$B,RetirementPlan!$C:$C,""))</f>
        <v/>
      </c>
      <c r="F77" s="9">
        <f>IF(OR($A77="",D77=""),"",FV(IF(IFERROR(XLOOKUP($A77,RetirementPlan!$B:$B,RetirementPlan!$K:$K,""),"")="",GROWTH,IFERROR(XLOOKUP($A77,RetirementPlan!$B:$B,RetirementPlan!$K:$K,""),"")),D77,-N(XLOOKUP($A77,RetirementPlan!$B:$B,RetirementPlan!$I:$I,0)),-SUMIFS(Assets!$J:$J,Assets!$B:$B,$A77,Assets!$R:$R,"Yes"),0))</f>
        <v/>
      </c>
      <c r="G77" s="9">
        <f>IF(OR($A77="",I77=""),"",MAX(0,(I77-J77)/IF(IFERROR(XLOOKUP($A77,RetirementPlan!$B:$B,RetirementPlan!$M:$M,""),"")="",SWR,IFERROR(XLOOKUP($A77,RetirementPlan!$B:$B,RetirementPlan!$M:$M,""),""))))</f>
        <v/>
      </c>
      <c r="H77" s="9">
        <f>IF(OR($A77="",F77="",G77=""),"",F77-G77)</f>
        <v/>
      </c>
      <c r="I77" s="9">
        <f>IF($A77="","",XLOOKUP($A77,RetirementPlan!$B:$B,RetirementPlan!$E:$E,""))</f>
        <v/>
      </c>
      <c r="J77" s="9">
        <f>IF($A77="","",N(XLOOKUP($A77,RetirementPlan!$B:$B,RetirementPlan!$G:$G,0))+N(XLOOKUP($A77,RetirementPlan!$B:$B,RetirementPlan!$H:$H,0)))</f>
        <v/>
      </c>
      <c r="K77">
        <f>IF($A77="","",IF(NOT(ISBLANK(XLOOKUP($A77,RetirementPlan!$B:$B,RetirementPlan!$N:$N,""))),XLOOKUP($A77,RetirementPlan!$B:$B,RetirementPlan!$N:$N,""),LET(cid,$A77,c,FILTER(LocationPlan!$D:$D,LocationPlan!$C:$C=cid),p,FILTER(LocationPlan!$E:$E,LocationPlan!$C:$C=cid),IFERROR(INDEX(c,MATCH(MAX(p),p,0)),""))))</f>
        <v/>
      </c>
    </row>
    <row r="78">
      <c r="B78">
        <f>IF($A78="","",XLOOKUP($A78,Clients!$A:$A,Clients!$D:$D)&amp;" "&amp;XLOOKUP($A78,Clients!$A:$A,Clients!$E:$E))</f>
        <v/>
      </c>
      <c r="C78">
        <f>IF($A78="","",DATEDIF(XLOOKUP($A78,Clients!$A:$A,Clients!$F:$F),VAL_DATE,"Y"))</f>
        <v/>
      </c>
      <c r="D78">
        <f>IF(OR($A78="",E78=""),"",E78-C78)</f>
        <v/>
      </c>
      <c r="E78">
        <f>IF($A78="","",XLOOKUP($A78,RetirementPlan!$B:$B,RetirementPlan!$C:$C,""))</f>
        <v/>
      </c>
      <c r="F78" s="9">
        <f>IF(OR($A78="",D78=""),"",FV(IF(IFERROR(XLOOKUP($A78,RetirementPlan!$B:$B,RetirementPlan!$K:$K,""),"")="",GROWTH,IFERROR(XLOOKUP($A78,RetirementPlan!$B:$B,RetirementPlan!$K:$K,""),"")),D78,-N(XLOOKUP($A78,RetirementPlan!$B:$B,RetirementPlan!$I:$I,0)),-SUMIFS(Assets!$J:$J,Assets!$B:$B,$A78,Assets!$R:$R,"Yes"),0))</f>
        <v/>
      </c>
      <c r="G78" s="9">
        <f>IF(OR($A78="",I78=""),"",MAX(0,(I78-J78)/IF(IFERROR(XLOOKUP($A78,RetirementPlan!$B:$B,RetirementPlan!$M:$M,""),"")="",SWR,IFERROR(XLOOKUP($A78,RetirementPlan!$B:$B,RetirementPlan!$M:$M,""),""))))</f>
        <v/>
      </c>
      <c r="H78" s="9">
        <f>IF(OR($A78="",F78="",G78=""),"",F78-G78)</f>
        <v/>
      </c>
      <c r="I78" s="9">
        <f>IF($A78="","",XLOOKUP($A78,RetirementPlan!$B:$B,RetirementPlan!$E:$E,""))</f>
        <v/>
      </c>
      <c r="J78" s="9">
        <f>IF($A78="","",N(XLOOKUP($A78,RetirementPlan!$B:$B,RetirementPlan!$G:$G,0))+N(XLOOKUP($A78,RetirementPlan!$B:$B,RetirementPlan!$H:$H,0)))</f>
        <v/>
      </c>
      <c r="K78">
        <f>IF($A78="","",IF(NOT(ISBLANK(XLOOKUP($A78,RetirementPlan!$B:$B,RetirementPlan!$N:$N,""))),XLOOKUP($A78,RetirementPlan!$B:$B,RetirementPlan!$N:$N,""),LET(cid,$A78,c,FILTER(LocationPlan!$D:$D,LocationPlan!$C:$C=cid),p,FILTER(LocationPlan!$E:$E,LocationPlan!$C:$C=cid),IFERROR(INDEX(c,MATCH(MAX(p),p,0)),""))))</f>
        <v/>
      </c>
    </row>
    <row r="79">
      <c r="B79">
        <f>IF($A79="","",XLOOKUP($A79,Clients!$A:$A,Clients!$D:$D)&amp;" "&amp;XLOOKUP($A79,Clients!$A:$A,Clients!$E:$E))</f>
        <v/>
      </c>
      <c r="C79">
        <f>IF($A79="","",DATEDIF(XLOOKUP($A79,Clients!$A:$A,Clients!$F:$F),VAL_DATE,"Y"))</f>
        <v/>
      </c>
      <c r="D79">
        <f>IF(OR($A79="",E79=""),"",E79-C79)</f>
        <v/>
      </c>
      <c r="E79">
        <f>IF($A79="","",XLOOKUP($A79,RetirementPlan!$B:$B,RetirementPlan!$C:$C,""))</f>
        <v/>
      </c>
      <c r="F79" s="9">
        <f>IF(OR($A79="",D79=""),"",FV(IF(IFERROR(XLOOKUP($A79,RetirementPlan!$B:$B,RetirementPlan!$K:$K,""),"")="",GROWTH,IFERROR(XLOOKUP($A79,RetirementPlan!$B:$B,RetirementPlan!$K:$K,""),"")),D79,-N(XLOOKUP($A79,RetirementPlan!$B:$B,RetirementPlan!$I:$I,0)),-SUMIFS(Assets!$J:$J,Assets!$B:$B,$A79,Assets!$R:$R,"Yes"),0))</f>
        <v/>
      </c>
      <c r="G79" s="9">
        <f>IF(OR($A79="",I79=""),"",MAX(0,(I79-J79)/IF(IFERROR(XLOOKUP($A79,RetirementPlan!$B:$B,RetirementPlan!$M:$M,""),"")="",SWR,IFERROR(XLOOKUP($A79,RetirementPlan!$B:$B,RetirementPlan!$M:$M,""),""))))</f>
        <v/>
      </c>
      <c r="H79" s="9">
        <f>IF(OR($A79="",F79="",G79=""),"",F79-G79)</f>
        <v/>
      </c>
      <c r="I79" s="9">
        <f>IF($A79="","",XLOOKUP($A79,RetirementPlan!$B:$B,RetirementPlan!$E:$E,""))</f>
        <v/>
      </c>
      <c r="J79" s="9">
        <f>IF($A79="","",N(XLOOKUP($A79,RetirementPlan!$B:$B,RetirementPlan!$G:$G,0))+N(XLOOKUP($A79,RetirementPlan!$B:$B,RetirementPlan!$H:$H,0)))</f>
        <v/>
      </c>
      <c r="K79">
        <f>IF($A79="","",IF(NOT(ISBLANK(XLOOKUP($A79,RetirementPlan!$B:$B,RetirementPlan!$N:$N,""))),XLOOKUP($A79,RetirementPlan!$B:$B,RetirementPlan!$N:$N,""),LET(cid,$A79,c,FILTER(LocationPlan!$D:$D,LocationPlan!$C:$C=cid),p,FILTER(LocationPlan!$E:$E,LocationPlan!$C:$C=cid),IFERROR(INDEX(c,MATCH(MAX(p),p,0)),""))))</f>
        <v/>
      </c>
    </row>
    <row r="80">
      <c r="B80">
        <f>IF($A80="","",XLOOKUP($A80,Clients!$A:$A,Clients!$D:$D)&amp;" "&amp;XLOOKUP($A80,Clients!$A:$A,Clients!$E:$E))</f>
        <v/>
      </c>
      <c r="C80">
        <f>IF($A80="","",DATEDIF(XLOOKUP($A80,Clients!$A:$A,Clients!$F:$F),VAL_DATE,"Y"))</f>
        <v/>
      </c>
      <c r="D80">
        <f>IF(OR($A80="",E80=""),"",E80-C80)</f>
        <v/>
      </c>
      <c r="E80">
        <f>IF($A80="","",XLOOKUP($A80,RetirementPlan!$B:$B,RetirementPlan!$C:$C,""))</f>
        <v/>
      </c>
      <c r="F80" s="9">
        <f>IF(OR($A80="",D80=""),"",FV(IF(IFERROR(XLOOKUP($A80,RetirementPlan!$B:$B,RetirementPlan!$K:$K,""),"")="",GROWTH,IFERROR(XLOOKUP($A80,RetirementPlan!$B:$B,RetirementPlan!$K:$K,""),"")),D80,-N(XLOOKUP($A80,RetirementPlan!$B:$B,RetirementPlan!$I:$I,0)),-SUMIFS(Assets!$J:$J,Assets!$B:$B,$A80,Assets!$R:$R,"Yes"),0))</f>
        <v/>
      </c>
      <c r="G80" s="9">
        <f>IF(OR($A80="",I80=""),"",MAX(0,(I80-J80)/IF(IFERROR(XLOOKUP($A80,RetirementPlan!$B:$B,RetirementPlan!$M:$M,""),"")="",SWR,IFERROR(XLOOKUP($A80,RetirementPlan!$B:$B,RetirementPlan!$M:$M,""),""))))</f>
        <v/>
      </c>
      <c r="H80" s="9">
        <f>IF(OR($A80="",F80="",G80=""),"",F80-G80)</f>
        <v/>
      </c>
      <c r="I80" s="9">
        <f>IF($A80="","",XLOOKUP($A80,RetirementPlan!$B:$B,RetirementPlan!$E:$E,""))</f>
        <v/>
      </c>
      <c r="J80" s="9">
        <f>IF($A80="","",N(XLOOKUP($A80,RetirementPlan!$B:$B,RetirementPlan!$G:$G,0))+N(XLOOKUP($A80,RetirementPlan!$B:$B,RetirementPlan!$H:$H,0)))</f>
        <v/>
      </c>
      <c r="K80">
        <f>IF($A80="","",IF(NOT(ISBLANK(XLOOKUP($A80,RetirementPlan!$B:$B,RetirementPlan!$N:$N,""))),XLOOKUP($A80,RetirementPlan!$B:$B,RetirementPlan!$N:$N,""),LET(cid,$A80,c,FILTER(LocationPlan!$D:$D,LocationPlan!$C:$C=cid),p,FILTER(LocationPlan!$E:$E,LocationPlan!$C:$C=cid),IFERROR(INDEX(c,MATCH(MAX(p),p,0)),""))))</f>
        <v/>
      </c>
    </row>
    <row r="81">
      <c r="B81">
        <f>IF($A81="","",XLOOKUP($A81,Clients!$A:$A,Clients!$D:$D)&amp;" "&amp;XLOOKUP($A81,Clients!$A:$A,Clients!$E:$E))</f>
        <v/>
      </c>
      <c r="C81">
        <f>IF($A81="","",DATEDIF(XLOOKUP($A81,Clients!$A:$A,Clients!$F:$F),VAL_DATE,"Y"))</f>
        <v/>
      </c>
      <c r="D81">
        <f>IF(OR($A81="",E81=""),"",E81-C81)</f>
        <v/>
      </c>
      <c r="E81">
        <f>IF($A81="","",XLOOKUP($A81,RetirementPlan!$B:$B,RetirementPlan!$C:$C,""))</f>
        <v/>
      </c>
      <c r="F81" s="9">
        <f>IF(OR($A81="",D81=""),"",FV(IF(IFERROR(XLOOKUP($A81,RetirementPlan!$B:$B,RetirementPlan!$K:$K,""),"")="",GROWTH,IFERROR(XLOOKUP($A81,RetirementPlan!$B:$B,RetirementPlan!$K:$K,""),"")),D81,-N(XLOOKUP($A81,RetirementPlan!$B:$B,RetirementPlan!$I:$I,0)),-SUMIFS(Assets!$J:$J,Assets!$B:$B,$A81,Assets!$R:$R,"Yes"),0))</f>
        <v/>
      </c>
      <c r="G81" s="9">
        <f>IF(OR($A81="",I81=""),"",MAX(0,(I81-J81)/IF(IFERROR(XLOOKUP($A81,RetirementPlan!$B:$B,RetirementPlan!$M:$M,""),"")="",SWR,IFERROR(XLOOKUP($A81,RetirementPlan!$B:$B,RetirementPlan!$M:$M,""),""))))</f>
        <v/>
      </c>
      <c r="H81" s="9">
        <f>IF(OR($A81="",F81="",G81=""),"",F81-G81)</f>
        <v/>
      </c>
      <c r="I81" s="9">
        <f>IF($A81="","",XLOOKUP($A81,RetirementPlan!$B:$B,RetirementPlan!$E:$E,""))</f>
        <v/>
      </c>
      <c r="J81" s="9">
        <f>IF($A81="","",N(XLOOKUP($A81,RetirementPlan!$B:$B,RetirementPlan!$G:$G,0))+N(XLOOKUP($A81,RetirementPlan!$B:$B,RetirementPlan!$H:$H,0)))</f>
        <v/>
      </c>
      <c r="K81">
        <f>IF($A81="","",IF(NOT(ISBLANK(XLOOKUP($A81,RetirementPlan!$B:$B,RetirementPlan!$N:$N,""))),XLOOKUP($A81,RetirementPlan!$B:$B,RetirementPlan!$N:$N,""),LET(cid,$A81,c,FILTER(LocationPlan!$D:$D,LocationPlan!$C:$C=cid),p,FILTER(LocationPlan!$E:$E,LocationPlan!$C:$C=cid),IFERROR(INDEX(c,MATCH(MAX(p),p,0)),""))))</f>
        <v/>
      </c>
    </row>
    <row r="82">
      <c r="B82">
        <f>IF($A82="","",XLOOKUP($A82,Clients!$A:$A,Clients!$D:$D)&amp;" "&amp;XLOOKUP($A82,Clients!$A:$A,Clients!$E:$E))</f>
        <v/>
      </c>
      <c r="C82">
        <f>IF($A82="","",DATEDIF(XLOOKUP($A82,Clients!$A:$A,Clients!$F:$F),VAL_DATE,"Y"))</f>
        <v/>
      </c>
      <c r="D82">
        <f>IF(OR($A82="",E82=""),"",E82-C82)</f>
        <v/>
      </c>
      <c r="E82">
        <f>IF($A82="","",XLOOKUP($A82,RetirementPlan!$B:$B,RetirementPlan!$C:$C,""))</f>
        <v/>
      </c>
      <c r="F82" s="9">
        <f>IF(OR($A82="",D82=""),"",FV(IF(IFERROR(XLOOKUP($A82,RetirementPlan!$B:$B,RetirementPlan!$K:$K,""),"")="",GROWTH,IFERROR(XLOOKUP($A82,RetirementPlan!$B:$B,RetirementPlan!$K:$K,""),"")),D82,-N(XLOOKUP($A82,RetirementPlan!$B:$B,RetirementPlan!$I:$I,0)),-SUMIFS(Assets!$J:$J,Assets!$B:$B,$A82,Assets!$R:$R,"Yes"),0))</f>
        <v/>
      </c>
      <c r="G82" s="9">
        <f>IF(OR($A82="",I82=""),"",MAX(0,(I82-J82)/IF(IFERROR(XLOOKUP($A82,RetirementPlan!$B:$B,RetirementPlan!$M:$M,""),"")="",SWR,IFERROR(XLOOKUP($A82,RetirementPlan!$B:$B,RetirementPlan!$M:$M,""),""))))</f>
        <v/>
      </c>
      <c r="H82" s="9">
        <f>IF(OR($A82="",F82="",G82=""),"",F82-G82)</f>
        <v/>
      </c>
      <c r="I82" s="9">
        <f>IF($A82="","",XLOOKUP($A82,RetirementPlan!$B:$B,RetirementPlan!$E:$E,""))</f>
        <v/>
      </c>
      <c r="J82" s="9">
        <f>IF($A82="","",N(XLOOKUP($A82,RetirementPlan!$B:$B,RetirementPlan!$G:$G,0))+N(XLOOKUP($A82,RetirementPlan!$B:$B,RetirementPlan!$H:$H,0)))</f>
        <v/>
      </c>
      <c r="K82">
        <f>IF($A82="","",IF(NOT(ISBLANK(XLOOKUP($A82,RetirementPlan!$B:$B,RetirementPlan!$N:$N,""))),XLOOKUP($A82,RetirementPlan!$B:$B,RetirementPlan!$N:$N,""),LET(cid,$A82,c,FILTER(LocationPlan!$D:$D,LocationPlan!$C:$C=cid),p,FILTER(LocationPlan!$E:$E,LocationPlan!$C:$C=cid),IFERROR(INDEX(c,MATCH(MAX(p),p,0)),""))))</f>
        <v/>
      </c>
    </row>
    <row r="83">
      <c r="B83">
        <f>IF($A83="","",XLOOKUP($A83,Clients!$A:$A,Clients!$D:$D)&amp;" "&amp;XLOOKUP($A83,Clients!$A:$A,Clients!$E:$E))</f>
        <v/>
      </c>
      <c r="C83">
        <f>IF($A83="","",DATEDIF(XLOOKUP($A83,Clients!$A:$A,Clients!$F:$F),VAL_DATE,"Y"))</f>
        <v/>
      </c>
      <c r="D83">
        <f>IF(OR($A83="",E83=""),"",E83-C83)</f>
        <v/>
      </c>
      <c r="E83">
        <f>IF($A83="","",XLOOKUP($A83,RetirementPlan!$B:$B,RetirementPlan!$C:$C,""))</f>
        <v/>
      </c>
      <c r="F83" s="9">
        <f>IF(OR($A83="",D83=""),"",FV(IF(IFERROR(XLOOKUP($A83,RetirementPlan!$B:$B,RetirementPlan!$K:$K,""),"")="",GROWTH,IFERROR(XLOOKUP($A83,RetirementPlan!$B:$B,RetirementPlan!$K:$K,""),"")),D83,-N(XLOOKUP($A83,RetirementPlan!$B:$B,RetirementPlan!$I:$I,0)),-SUMIFS(Assets!$J:$J,Assets!$B:$B,$A83,Assets!$R:$R,"Yes"),0))</f>
        <v/>
      </c>
      <c r="G83" s="9">
        <f>IF(OR($A83="",I83=""),"",MAX(0,(I83-J83)/IF(IFERROR(XLOOKUP($A83,RetirementPlan!$B:$B,RetirementPlan!$M:$M,""),"")="",SWR,IFERROR(XLOOKUP($A83,RetirementPlan!$B:$B,RetirementPlan!$M:$M,""),""))))</f>
        <v/>
      </c>
      <c r="H83" s="9">
        <f>IF(OR($A83="",F83="",G83=""),"",F83-G83)</f>
        <v/>
      </c>
      <c r="I83" s="9">
        <f>IF($A83="","",XLOOKUP($A83,RetirementPlan!$B:$B,RetirementPlan!$E:$E,""))</f>
        <v/>
      </c>
      <c r="J83" s="9">
        <f>IF($A83="","",N(XLOOKUP($A83,RetirementPlan!$B:$B,RetirementPlan!$G:$G,0))+N(XLOOKUP($A83,RetirementPlan!$B:$B,RetirementPlan!$H:$H,0)))</f>
        <v/>
      </c>
      <c r="K83">
        <f>IF($A83="","",IF(NOT(ISBLANK(XLOOKUP($A83,RetirementPlan!$B:$B,RetirementPlan!$N:$N,""))),XLOOKUP($A83,RetirementPlan!$B:$B,RetirementPlan!$N:$N,""),LET(cid,$A83,c,FILTER(LocationPlan!$D:$D,LocationPlan!$C:$C=cid),p,FILTER(LocationPlan!$E:$E,LocationPlan!$C:$C=cid),IFERROR(INDEX(c,MATCH(MAX(p),p,0)),""))))</f>
        <v/>
      </c>
    </row>
    <row r="84">
      <c r="B84">
        <f>IF($A84="","",XLOOKUP($A84,Clients!$A:$A,Clients!$D:$D)&amp;" "&amp;XLOOKUP($A84,Clients!$A:$A,Clients!$E:$E))</f>
        <v/>
      </c>
      <c r="C84">
        <f>IF($A84="","",DATEDIF(XLOOKUP($A84,Clients!$A:$A,Clients!$F:$F),VAL_DATE,"Y"))</f>
        <v/>
      </c>
      <c r="D84">
        <f>IF(OR($A84="",E84=""),"",E84-C84)</f>
        <v/>
      </c>
      <c r="E84">
        <f>IF($A84="","",XLOOKUP($A84,RetirementPlan!$B:$B,RetirementPlan!$C:$C,""))</f>
        <v/>
      </c>
      <c r="F84" s="9">
        <f>IF(OR($A84="",D84=""),"",FV(IF(IFERROR(XLOOKUP($A84,RetirementPlan!$B:$B,RetirementPlan!$K:$K,""),"")="",GROWTH,IFERROR(XLOOKUP($A84,RetirementPlan!$B:$B,RetirementPlan!$K:$K,""),"")),D84,-N(XLOOKUP($A84,RetirementPlan!$B:$B,RetirementPlan!$I:$I,0)),-SUMIFS(Assets!$J:$J,Assets!$B:$B,$A84,Assets!$R:$R,"Yes"),0))</f>
        <v/>
      </c>
      <c r="G84" s="9">
        <f>IF(OR($A84="",I84=""),"",MAX(0,(I84-J84)/IF(IFERROR(XLOOKUP($A84,RetirementPlan!$B:$B,RetirementPlan!$M:$M,""),"")="",SWR,IFERROR(XLOOKUP($A84,RetirementPlan!$B:$B,RetirementPlan!$M:$M,""),""))))</f>
        <v/>
      </c>
      <c r="H84" s="9">
        <f>IF(OR($A84="",F84="",G84=""),"",F84-G84)</f>
        <v/>
      </c>
      <c r="I84" s="9">
        <f>IF($A84="","",XLOOKUP($A84,RetirementPlan!$B:$B,RetirementPlan!$E:$E,""))</f>
        <v/>
      </c>
      <c r="J84" s="9">
        <f>IF($A84="","",N(XLOOKUP($A84,RetirementPlan!$B:$B,RetirementPlan!$G:$G,0))+N(XLOOKUP($A84,RetirementPlan!$B:$B,RetirementPlan!$H:$H,0)))</f>
        <v/>
      </c>
      <c r="K84">
        <f>IF($A84="","",IF(NOT(ISBLANK(XLOOKUP($A84,RetirementPlan!$B:$B,RetirementPlan!$N:$N,""))),XLOOKUP($A84,RetirementPlan!$B:$B,RetirementPlan!$N:$N,""),LET(cid,$A84,c,FILTER(LocationPlan!$D:$D,LocationPlan!$C:$C=cid),p,FILTER(LocationPlan!$E:$E,LocationPlan!$C:$C=cid),IFERROR(INDEX(c,MATCH(MAX(p),p,0)),""))))</f>
        <v/>
      </c>
    </row>
    <row r="85">
      <c r="B85">
        <f>IF($A85="","",XLOOKUP($A85,Clients!$A:$A,Clients!$D:$D)&amp;" "&amp;XLOOKUP($A85,Clients!$A:$A,Clients!$E:$E))</f>
        <v/>
      </c>
      <c r="C85">
        <f>IF($A85="","",DATEDIF(XLOOKUP($A85,Clients!$A:$A,Clients!$F:$F),VAL_DATE,"Y"))</f>
        <v/>
      </c>
      <c r="D85">
        <f>IF(OR($A85="",E85=""),"",E85-C85)</f>
        <v/>
      </c>
      <c r="E85">
        <f>IF($A85="","",XLOOKUP($A85,RetirementPlan!$B:$B,RetirementPlan!$C:$C,""))</f>
        <v/>
      </c>
      <c r="F85" s="9">
        <f>IF(OR($A85="",D85=""),"",FV(IF(IFERROR(XLOOKUP($A85,RetirementPlan!$B:$B,RetirementPlan!$K:$K,""),"")="",GROWTH,IFERROR(XLOOKUP($A85,RetirementPlan!$B:$B,RetirementPlan!$K:$K,""),"")),D85,-N(XLOOKUP($A85,RetirementPlan!$B:$B,RetirementPlan!$I:$I,0)),-SUMIFS(Assets!$J:$J,Assets!$B:$B,$A85,Assets!$R:$R,"Yes"),0))</f>
        <v/>
      </c>
      <c r="G85" s="9">
        <f>IF(OR($A85="",I85=""),"",MAX(0,(I85-J85)/IF(IFERROR(XLOOKUP($A85,RetirementPlan!$B:$B,RetirementPlan!$M:$M,""),"")="",SWR,IFERROR(XLOOKUP($A85,RetirementPlan!$B:$B,RetirementPlan!$M:$M,""),""))))</f>
        <v/>
      </c>
      <c r="H85" s="9">
        <f>IF(OR($A85="",F85="",G85=""),"",F85-G85)</f>
        <v/>
      </c>
      <c r="I85" s="9">
        <f>IF($A85="","",XLOOKUP($A85,RetirementPlan!$B:$B,RetirementPlan!$E:$E,""))</f>
        <v/>
      </c>
      <c r="J85" s="9">
        <f>IF($A85="","",N(XLOOKUP($A85,RetirementPlan!$B:$B,RetirementPlan!$G:$G,0))+N(XLOOKUP($A85,RetirementPlan!$B:$B,RetirementPlan!$H:$H,0)))</f>
        <v/>
      </c>
      <c r="K85">
        <f>IF($A85="","",IF(NOT(ISBLANK(XLOOKUP($A85,RetirementPlan!$B:$B,RetirementPlan!$N:$N,""))),XLOOKUP($A85,RetirementPlan!$B:$B,RetirementPlan!$N:$N,""),LET(cid,$A85,c,FILTER(LocationPlan!$D:$D,LocationPlan!$C:$C=cid),p,FILTER(LocationPlan!$E:$E,LocationPlan!$C:$C=cid),IFERROR(INDEX(c,MATCH(MAX(p),p,0)),""))))</f>
        <v/>
      </c>
    </row>
    <row r="86">
      <c r="B86">
        <f>IF($A86="","",XLOOKUP($A86,Clients!$A:$A,Clients!$D:$D)&amp;" "&amp;XLOOKUP($A86,Clients!$A:$A,Clients!$E:$E))</f>
        <v/>
      </c>
      <c r="C86">
        <f>IF($A86="","",DATEDIF(XLOOKUP($A86,Clients!$A:$A,Clients!$F:$F),VAL_DATE,"Y"))</f>
        <v/>
      </c>
      <c r="D86">
        <f>IF(OR($A86="",E86=""),"",E86-C86)</f>
        <v/>
      </c>
      <c r="E86">
        <f>IF($A86="","",XLOOKUP($A86,RetirementPlan!$B:$B,RetirementPlan!$C:$C,""))</f>
        <v/>
      </c>
      <c r="F86" s="9">
        <f>IF(OR($A86="",D86=""),"",FV(IF(IFERROR(XLOOKUP($A86,RetirementPlan!$B:$B,RetirementPlan!$K:$K,""),"")="",GROWTH,IFERROR(XLOOKUP($A86,RetirementPlan!$B:$B,RetirementPlan!$K:$K,""),"")),D86,-N(XLOOKUP($A86,RetirementPlan!$B:$B,RetirementPlan!$I:$I,0)),-SUMIFS(Assets!$J:$J,Assets!$B:$B,$A86,Assets!$R:$R,"Yes"),0))</f>
        <v/>
      </c>
      <c r="G86" s="9">
        <f>IF(OR($A86="",I86=""),"",MAX(0,(I86-J86)/IF(IFERROR(XLOOKUP($A86,RetirementPlan!$B:$B,RetirementPlan!$M:$M,""),"")="",SWR,IFERROR(XLOOKUP($A86,RetirementPlan!$B:$B,RetirementPlan!$M:$M,""),""))))</f>
        <v/>
      </c>
      <c r="H86" s="9">
        <f>IF(OR($A86="",F86="",G86=""),"",F86-G86)</f>
        <v/>
      </c>
      <c r="I86" s="9">
        <f>IF($A86="","",XLOOKUP($A86,RetirementPlan!$B:$B,RetirementPlan!$E:$E,""))</f>
        <v/>
      </c>
      <c r="J86" s="9">
        <f>IF($A86="","",N(XLOOKUP($A86,RetirementPlan!$B:$B,RetirementPlan!$G:$G,0))+N(XLOOKUP($A86,RetirementPlan!$B:$B,RetirementPlan!$H:$H,0)))</f>
        <v/>
      </c>
      <c r="K86">
        <f>IF($A86="","",IF(NOT(ISBLANK(XLOOKUP($A86,RetirementPlan!$B:$B,RetirementPlan!$N:$N,""))),XLOOKUP($A86,RetirementPlan!$B:$B,RetirementPlan!$N:$N,""),LET(cid,$A86,c,FILTER(LocationPlan!$D:$D,LocationPlan!$C:$C=cid),p,FILTER(LocationPlan!$E:$E,LocationPlan!$C:$C=cid),IFERROR(INDEX(c,MATCH(MAX(p),p,0)),""))))</f>
        <v/>
      </c>
    </row>
    <row r="87">
      <c r="B87">
        <f>IF($A87="","",XLOOKUP($A87,Clients!$A:$A,Clients!$D:$D)&amp;" "&amp;XLOOKUP($A87,Clients!$A:$A,Clients!$E:$E))</f>
        <v/>
      </c>
      <c r="C87">
        <f>IF($A87="","",DATEDIF(XLOOKUP($A87,Clients!$A:$A,Clients!$F:$F),VAL_DATE,"Y"))</f>
        <v/>
      </c>
      <c r="D87">
        <f>IF(OR($A87="",E87=""),"",E87-C87)</f>
        <v/>
      </c>
      <c r="E87">
        <f>IF($A87="","",XLOOKUP($A87,RetirementPlan!$B:$B,RetirementPlan!$C:$C,""))</f>
        <v/>
      </c>
      <c r="F87" s="9">
        <f>IF(OR($A87="",D87=""),"",FV(IF(IFERROR(XLOOKUP($A87,RetirementPlan!$B:$B,RetirementPlan!$K:$K,""),"")="",GROWTH,IFERROR(XLOOKUP($A87,RetirementPlan!$B:$B,RetirementPlan!$K:$K,""),"")),D87,-N(XLOOKUP($A87,RetirementPlan!$B:$B,RetirementPlan!$I:$I,0)),-SUMIFS(Assets!$J:$J,Assets!$B:$B,$A87,Assets!$R:$R,"Yes"),0))</f>
        <v/>
      </c>
      <c r="G87" s="9">
        <f>IF(OR($A87="",I87=""),"",MAX(0,(I87-J87)/IF(IFERROR(XLOOKUP($A87,RetirementPlan!$B:$B,RetirementPlan!$M:$M,""),"")="",SWR,IFERROR(XLOOKUP($A87,RetirementPlan!$B:$B,RetirementPlan!$M:$M,""),""))))</f>
        <v/>
      </c>
      <c r="H87" s="9">
        <f>IF(OR($A87="",F87="",G87=""),"",F87-G87)</f>
        <v/>
      </c>
      <c r="I87" s="9">
        <f>IF($A87="","",XLOOKUP($A87,RetirementPlan!$B:$B,RetirementPlan!$E:$E,""))</f>
        <v/>
      </c>
      <c r="J87" s="9">
        <f>IF($A87="","",N(XLOOKUP($A87,RetirementPlan!$B:$B,RetirementPlan!$G:$G,0))+N(XLOOKUP($A87,RetirementPlan!$B:$B,RetirementPlan!$H:$H,0)))</f>
        <v/>
      </c>
      <c r="K87">
        <f>IF($A87="","",IF(NOT(ISBLANK(XLOOKUP($A87,RetirementPlan!$B:$B,RetirementPlan!$N:$N,""))),XLOOKUP($A87,RetirementPlan!$B:$B,RetirementPlan!$N:$N,""),LET(cid,$A87,c,FILTER(LocationPlan!$D:$D,LocationPlan!$C:$C=cid),p,FILTER(LocationPlan!$E:$E,LocationPlan!$C:$C=cid),IFERROR(INDEX(c,MATCH(MAX(p),p,0)),""))))</f>
        <v/>
      </c>
    </row>
    <row r="88">
      <c r="B88">
        <f>IF($A88="","",XLOOKUP($A88,Clients!$A:$A,Clients!$D:$D)&amp;" "&amp;XLOOKUP($A88,Clients!$A:$A,Clients!$E:$E))</f>
        <v/>
      </c>
      <c r="C88">
        <f>IF($A88="","",DATEDIF(XLOOKUP($A88,Clients!$A:$A,Clients!$F:$F),VAL_DATE,"Y"))</f>
        <v/>
      </c>
      <c r="D88">
        <f>IF(OR($A88="",E88=""),"",E88-C88)</f>
        <v/>
      </c>
      <c r="E88">
        <f>IF($A88="","",XLOOKUP($A88,RetirementPlan!$B:$B,RetirementPlan!$C:$C,""))</f>
        <v/>
      </c>
      <c r="F88" s="9">
        <f>IF(OR($A88="",D88=""),"",FV(IF(IFERROR(XLOOKUP($A88,RetirementPlan!$B:$B,RetirementPlan!$K:$K,""),"")="",GROWTH,IFERROR(XLOOKUP($A88,RetirementPlan!$B:$B,RetirementPlan!$K:$K,""),"")),D88,-N(XLOOKUP($A88,RetirementPlan!$B:$B,RetirementPlan!$I:$I,0)),-SUMIFS(Assets!$J:$J,Assets!$B:$B,$A88,Assets!$R:$R,"Yes"),0))</f>
        <v/>
      </c>
      <c r="G88" s="9">
        <f>IF(OR($A88="",I88=""),"",MAX(0,(I88-J88)/IF(IFERROR(XLOOKUP($A88,RetirementPlan!$B:$B,RetirementPlan!$M:$M,""),"")="",SWR,IFERROR(XLOOKUP($A88,RetirementPlan!$B:$B,RetirementPlan!$M:$M,""),""))))</f>
        <v/>
      </c>
      <c r="H88" s="9">
        <f>IF(OR($A88="",F88="",G88=""),"",F88-G88)</f>
        <v/>
      </c>
      <c r="I88" s="9">
        <f>IF($A88="","",XLOOKUP($A88,RetirementPlan!$B:$B,RetirementPlan!$E:$E,""))</f>
        <v/>
      </c>
      <c r="J88" s="9">
        <f>IF($A88="","",N(XLOOKUP($A88,RetirementPlan!$B:$B,RetirementPlan!$G:$G,0))+N(XLOOKUP($A88,RetirementPlan!$B:$B,RetirementPlan!$H:$H,0)))</f>
        <v/>
      </c>
      <c r="K88">
        <f>IF($A88="","",IF(NOT(ISBLANK(XLOOKUP($A88,RetirementPlan!$B:$B,RetirementPlan!$N:$N,""))),XLOOKUP($A88,RetirementPlan!$B:$B,RetirementPlan!$N:$N,""),LET(cid,$A88,c,FILTER(LocationPlan!$D:$D,LocationPlan!$C:$C=cid),p,FILTER(LocationPlan!$E:$E,LocationPlan!$C:$C=cid),IFERROR(INDEX(c,MATCH(MAX(p),p,0)),""))))</f>
        <v/>
      </c>
    </row>
    <row r="89">
      <c r="B89">
        <f>IF($A89="","",XLOOKUP($A89,Clients!$A:$A,Clients!$D:$D)&amp;" "&amp;XLOOKUP($A89,Clients!$A:$A,Clients!$E:$E))</f>
        <v/>
      </c>
      <c r="C89">
        <f>IF($A89="","",DATEDIF(XLOOKUP($A89,Clients!$A:$A,Clients!$F:$F),VAL_DATE,"Y"))</f>
        <v/>
      </c>
      <c r="D89">
        <f>IF(OR($A89="",E89=""),"",E89-C89)</f>
        <v/>
      </c>
      <c r="E89">
        <f>IF($A89="","",XLOOKUP($A89,RetirementPlan!$B:$B,RetirementPlan!$C:$C,""))</f>
        <v/>
      </c>
      <c r="F89" s="9">
        <f>IF(OR($A89="",D89=""),"",FV(IF(IFERROR(XLOOKUP($A89,RetirementPlan!$B:$B,RetirementPlan!$K:$K,""),"")="",GROWTH,IFERROR(XLOOKUP($A89,RetirementPlan!$B:$B,RetirementPlan!$K:$K,""),"")),D89,-N(XLOOKUP($A89,RetirementPlan!$B:$B,RetirementPlan!$I:$I,0)),-SUMIFS(Assets!$J:$J,Assets!$B:$B,$A89,Assets!$R:$R,"Yes"),0))</f>
        <v/>
      </c>
      <c r="G89" s="9">
        <f>IF(OR($A89="",I89=""),"",MAX(0,(I89-J89)/IF(IFERROR(XLOOKUP($A89,RetirementPlan!$B:$B,RetirementPlan!$M:$M,""),"")="",SWR,IFERROR(XLOOKUP($A89,RetirementPlan!$B:$B,RetirementPlan!$M:$M,""),""))))</f>
        <v/>
      </c>
      <c r="H89" s="9">
        <f>IF(OR($A89="",F89="",G89=""),"",F89-G89)</f>
        <v/>
      </c>
      <c r="I89" s="9">
        <f>IF($A89="","",XLOOKUP($A89,RetirementPlan!$B:$B,RetirementPlan!$E:$E,""))</f>
        <v/>
      </c>
      <c r="J89" s="9">
        <f>IF($A89="","",N(XLOOKUP($A89,RetirementPlan!$B:$B,RetirementPlan!$G:$G,0))+N(XLOOKUP($A89,RetirementPlan!$B:$B,RetirementPlan!$H:$H,0)))</f>
        <v/>
      </c>
      <c r="K89">
        <f>IF($A89="","",IF(NOT(ISBLANK(XLOOKUP($A89,RetirementPlan!$B:$B,RetirementPlan!$N:$N,""))),XLOOKUP($A89,RetirementPlan!$B:$B,RetirementPlan!$N:$N,""),LET(cid,$A89,c,FILTER(LocationPlan!$D:$D,LocationPlan!$C:$C=cid),p,FILTER(LocationPlan!$E:$E,LocationPlan!$C:$C=cid),IFERROR(INDEX(c,MATCH(MAX(p),p,0)),""))))</f>
        <v/>
      </c>
    </row>
    <row r="90">
      <c r="B90">
        <f>IF($A90="","",XLOOKUP($A90,Clients!$A:$A,Clients!$D:$D)&amp;" "&amp;XLOOKUP($A90,Clients!$A:$A,Clients!$E:$E))</f>
        <v/>
      </c>
      <c r="C90">
        <f>IF($A90="","",DATEDIF(XLOOKUP($A90,Clients!$A:$A,Clients!$F:$F),VAL_DATE,"Y"))</f>
        <v/>
      </c>
      <c r="D90">
        <f>IF(OR($A90="",E90=""),"",E90-C90)</f>
        <v/>
      </c>
      <c r="E90">
        <f>IF($A90="","",XLOOKUP($A90,RetirementPlan!$B:$B,RetirementPlan!$C:$C,""))</f>
        <v/>
      </c>
      <c r="F90" s="9">
        <f>IF(OR($A90="",D90=""),"",FV(IF(IFERROR(XLOOKUP($A90,RetirementPlan!$B:$B,RetirementPlan!$K:$K,""),"")="",GROWTH,IFERROR(XLOOKUP($A90,RetirementPlan!$B:$B,RetirementPlan!$K:$K,""),"")),D90,-N(XLOOKUP($A90,RetirementPlan!$B:$B,RetirementPlan!$I:$I,0)),-SUMIFS(Assets!$J:$J,Assets!$B:$B,$A90,Assets!$R:$R,"Yes"),0))</f>
        <v/>
      </c>
      <c r="G90" s="9">
        <f>IF(OR($A90="",I90=""),"",MAX(0,(I90-J90)/IF(IFERROR(XLOOKUP($A90,RetirementPlan!$B:$B,RetirementPlan!$M:$M,""),"")="",SWR,IFERROR(XLOOKUP($A90,RetirementPlan!$B:$B,RetirementPlan!$M:$M,""),""))))</f>
        <v/>
      </c>
      <c r="H90" s="9">
        <f>IF(OR($A90="",F90="",G90=""),"",F90-G90)</f>
        <v/>
      </c>
      <c r="I90" s="9">
        <f>IF($A90="","",XLOOKUP($A90,RetirementPlan!$B:$B,RetirementPlan!$E:$E,""))</f>
        <v/>
      </c>
      <c r="J90" s="9">
        <f>IF($A90="","",N(XLOOKUP($A90,RetirementPlan!$B:$B,RetirementPlan!$G:$G,0))+N(XLOOKUP($A90,RetirementPlan!$B:$B,RetirementPlan!$H:$H,0)))</f>
        <v/>
      </c>
      <c r="K90">
        <f>IF($A90="","",IF(NOT(ISBLANK(XLOOKUP($A90,RetirementPlan!$B:$B,RetirementPlan!$N:$N,""))),XLOOKUP($A90,RetirementPlan!$B:$B,RetirementPlan!$N:$N,""),LET(cid,$A90,c,FILTER(LocationPlan!$D:$D,LocationPlan!$C:$C=cid),p,FILTER(LocationPlan!$E:$E,LocationPlan!$C:$C=cid),IFERROR(INDEX(c,MATCH(MAX(p),p,0)),""))))</f>
        <v/>
      </c>
    </row>
    <row r="91">
      <c r="B91">
        <f>IF($A91="","",XLOOKUP($A91,Clients!$A:$A,Clients!$D:$D)&amp;" "&amp;XLOOKUP($A91,Clients!$A:$A,Clients!$E:$E))</f>
        <v/>
      </c>
      <c r="C91">
        <f>IF($A91="","",DATEDIF(XLOOKUP($A91,Clients!$A:$A,Clients!$F:$F),VAL_DATE,"Y"))</f>
        <v/>
      </c>
      <c r="D91">
        <f>IF(OR($A91="",E91=""),"",E91-C91)</f>
        <v/>
      </c>
      <c r="E91">
        <f>IF($A91="","",XLOOKUP($A91,RetirementPlan!$B:$B,RetirementPlan!$C:$C,""))</f>
        <v/>
      </c>
      <c r="F91" s="9">
        <f>IF(OR($A91="",D91=""),"",FV(IF(IFERROR(XLOOKUP($A91,RetirementPlan!$B:$B,RetirementPlan!$K:$K,""),"")="",GROWTH,IFERROR(XLOOKUP($A91,RetirementPlan!$B:$B,RetirementPlan!$K:$K,""),"")),D91,-N(XLOOKUP($A91,RetirementPlan!$B:$B,RetirementPlan!$I:$I,0)),-SUMIFS(Assets!$J:$J,Assets!$B:$B,$A91,Assets!$R:$R,"Yes"),0))</f>
        <v/>
      </c>
      <c r="G91" s="9">
        <f>IF(OR($A91="",I91=""),"",MAX(0,(I91-J91)/IF(IFERROR(XLOOKUP($A91,RetirementPlan!$B:$B,RetirementPlan!$M:$M,""),"")="",SWR,IFERROR(XLOOKUP($A91,RetirementPlan!$B:$B,RetirementPlan!$M:$M,""),""))))</f>
        <v/>
      </c>
      <c r="H91" s="9">
        <f>IF(OR($A91="",F91="",G91=""),"",F91-G91)</f>
        <v/>
      </c>
      <c r="I91" s="9">
        <f>IF($A91="","",XLOOKUP($A91,RetirementPlan!$B:$B,RetirementPlan!$E:$E,""))</f>
        <v/>
      </c>
      <c r="J91" s="9">
        <f>IF($A91="","",N(XLOOKUP($A91,RetirementPlan!$B:$B,RetirementPlan!$G:$G,0))+N(XLOOKUP($A91,RetirementPlan!$B:$B,RetirementPlan!$H:$H,0)))</f>
        <v/>
      </c>
      <c r="K91">
        <f>IF($A91="","",IF(NOT(ISBLANK(XLOOKUP($A91,RetirementPlan!$B:$B,RetirementPlan!$N:$N,""))),XLOOKUP($A91,RetirementPlan!$B:$B,RetirementPlan!$N:$N,""),LET(cid,$A91,c,FILTER(LocationPlan!$D:$D,LocationPlan!$C:$C=cid),p,FILTER(LocationPlan!$E:$E,LocationPlan!$C:$C=cid),IFERROR(INDEX(c,MATCH(MAX(p),p,0)),""))))</f>
        <v/>
      </c>
    </row>
    <row r="92">
      <c r="B92">
        <f>IF($A92="","",XLOOKUP($A92,Clients!$A:$A,Clients!$D:$D)&amp;" "&amp;XLOOKUP($A92,Clients!$A:$A,Clients!$E:$E))</f>
        <v/>
      </c>
      <c r="C92">
        <f>IF($A92="","",DATEDIF(XLOOKUP($A92,Clients!$A:$A,Clients!$F:$F),VAL_DATE,"Y"))</f>
        <v/>
      </c>
      <c r="D92">
        <f>IF(OR($A92="",E92=""),"",E92-C92)</f>
        <v/>
      </c>
      <c r="E92">
        <f>IF($A92="","",XLOOKUP($A92,RetirementPlan!$B:$B,RetirementPlan!$C:$C,""))</f>
        <v/>
      </c>
      <c r="F92" s="9">
        <f>IF(OR($A92="",D92=""),"",FV(IF(IFERROR(XLOOKUP($A92,RetirementPlan!$B:$B,RetirementPlan!$K:$K,""),"")="",GROWTH,IFERROR(XLOOKUP($A92,RetirementPlan!$B:$B,RetirementPlan!$K:$K,""),"")),D92,-N(XLOOKUP($A92,RetirementPlan!$B:$B,RetirementPlan!$I:$I,0)),-SUMIFS(Assets!$J:$J,Assets!$B:$B,$A92,Assets!$R:$R,"Yes"),0))</f>
        <v/>
      </c>
      <c r="G92" s="9">
        <f>IF(OR($A92="",I92=""),"",MAX(0,(I92-J92)/IF(IFERROR(XLOOKUP($A92,RetirementPlan!$B:$B,RetirementPlan!$M:$M,""),"")="",SWR,IFERROR(XLOOKUP($A92,RetirementPlan!$B:$B,RetirementPlan!$M:$M,""),""))))</f>
        <v/>
      </c>
      <c r="H92" s="9">
        <f>IF(OR($A92="",F92="",G92=""),"",F92-G92)</f>
        <v/>
      </c>
      <c r="I92" s="9">
        <f>IF($A92="","",XLOOKUP($A92,RetirementPlan!$B:$B,RetirementPlan!$E:$E,""))</f>
        <v/>
      </c>
      <c r="J92" s="9">
        <f>IF($A92="","",N(XLOOKUP($A92,RetirementPlan!$B:$B,RetirementPlan!$G:$G,0))+N(XLOOKUP($A92,RetirementPlan!$B:$B,RetirementPlan!$H:$H,0)))</f>
        <v/>
      </c>
      <c r="K92">
        <f>IF($A92="","",IF(NOT(ISBLANK(XLOOKUP($A92,RetirementPlan!$B:$B,RetirementPlan!$N:$N,""))),XLOOKUP($A92,RetirementPlan!$B:$B,RetirementPlan!$N:$N,""),LET(cid,$A92,c,FILTER(LocationPlan!$D:$D,LocationPlan!$C:$C=cid),p,FILTER(LocationPlan!$E:$E,LocationPlan!$C:$C=cid),IFERROR(INDEX(c,MATCH(MAX(p),p,0)),""))))</f>
        <v/>
      </c>
    </row>
    <row r="93">
      <c r="B93">
        <f>IF($A93="","",XLOOKUP($A93,Clients!$A:$A,Clients!$D:$D)&amp;" "&amp;XLOOKUP($A93,Clients!$A:$A,Clients!$E:$E))</f>
        <v/>
      </c>
      <c r="C93">
        <f>IF($A93="","",DATEDIF(XLOOKUP($A93,Clients!$A:$A,Clients!$F:$F),VAL_DATE,"Y"))</f>
        <v/>
      </c>
      <c r="D93">
        <f>IF(OR($A93="",E93=""),"",E93-C93)</f>
        <v/>
      </c>
      <c r="E93">
        <f>IF($A93="","",XLOOKUP($A93,RetirementPlan!$B:$B,RetirementPlan!$C:$C,""))</f>
        <v/>
      </c>
      <c r="F93" s="9">
        <f>IF(OR($A93="",D93=""),"",FV(IF(IFERROR(XLOOKUP($A93,RetirementPlan!$B:$B,RetirementPlan!$K:$K,""),"")="",GROWTH,IFERROR(XLOOKUP($A93,RetirementPlan!$B:$B,RetirementPlan!$K:$K,""),"")),D93,-N(XLOOKUP($A93,RetirementPlan!$B:$B,RetirementPlan!$I:$I,0)),-SUMIFS(Assets!$J:$J,Assets!$B:$B,$A93,Assets!$R:$R,"Yes"),0))</f>
        <v/>
      </c>
      <c r="G93" s="9">
        <f>IF(OR($A93="",I93=""),"",MAX(0,(I93-J93)/IF(IFERROR(XLOOKUP($A93,RetirementPlan!$B:$B,RetirementPlan!$M:$M,""),"")="",SWR,IFERROR(XLOOKUP($A93,RetirementPlan!$B:$B,RetirementPlan!$M:$M,""),""))))</f>
        <v/>
      </c>
      <c r="H93" s="9">
        <f>IF(OR($A93="",F93="",G93=""),"",F93-G93)</f>
        <v/>
      </c>
      <c r="I93" s="9">
        <f>IF($A93="","",XLOOKUP($A93,RetirementPlan!$B:$B,RetirementPlan!$E:$E,""))</f>
        <v/>
      </c>
      <c r="J93" s="9">
        <f>IF($A93="","",N(XLOOKUP($A93,RetirementPlan!$B:$B,RetirementPlan!$G:$G,0))+N(XLOOKUP($A93,RetirementPlan!$B:$B,RetirementPlan!$H:$H,0)))</f>
        <v/>
      </c>
      <c r="K93">
        <f>IF($A93="","",IF(NOT(ISBLANK(XLOOKUP($A93,RetirementPlan!$B:$B,RetirementPlan!$N:$N,""))),XLOOKUP($A93,RetirementPlan!$B:$B,RetirementPlan!$N:$N,""),LET(cid,$A93,c,FILTER(LocationPlan!$D:$D,LocationPlan!$C:$C=cid),p,FILTER(LocationPlan!$E:$E,LocationPlan!$C:$C=cid),IFERROR(INDEX(c,MATCH(MAX(p),p,0)),""))))</f>
        <v/>
      </c>
    </row>
    <row r="94">
      <c r="B94">
        <f>IF($A94="","",XLOOKUP($A94,Clients!$A:$A,Clients!$D:$D)&amp;" "&amp;XLOOKUP($A94,Clients!$A:$A,Clients!$E:$E))</f>
        <v/>
      </c>
      <c r="C94">
        <f>IF($A94="","",DATEDIF(XLOOKUP($A94,Clients!$A:$A,Clients!$F:$F),VAL_DATE,"Y"))</f>
        <v/>
      </c>
      <c r="D94">
        <f>IF(OR($A94="",E94=""),"",E94-C94)</f>
        <v/>
      </c>
      <c r="E94">
        <f>IF($A94="","",XLOOKUP($A94,RetirementPlan!$B:$B,RetirementPlan!$C:$C,""))</f>
        <v/>
      </c>
      <c r="F94" s="9">
        <f>IF(OR($A94="",D94=""),"",FV(IF(IFERROR(XLOOKUP($A94,RetirementPlan!$B:$B,RetirementPlan!$K:$K,""),"")="",GROWTH,IFERROR(XLOOKUP($A94,RetirementPlan!$B:$B,RetirementPlan!$K:$K,""),"")),D94,-N(XLOOKUP($A94,RetirementPlan!$B:$B,RetirementPlan!$I:$I,0)),-SUMIFS(Assets!$J:$J,Assets!$B:$B,$A94,Assets!$R:$R,"Yes"),0))</f>
        <v/>
      </c>
      <c r="G94" s="9">
        <f>IF(OR($A94="",I94=""),"",MAX(0,(I94-J94)/IF(IFERROR(XLOOKUP($A94,RetirementPlan!$B:$B,RetirementPlan!$M:$M,""),"")="",SWR,IFERROR(XLOOKUP($A94,RetirementPlan!$B:$B,RetirementPlan!$M:$M,""),""))))</f>
        <v/>
      </c>
      <c r="H94" s="9">
        <f>IF(OR($A94="",F94="",G94=""),"",F94-G94)</f>
        <v/>
      </c>
      <c r="I94" s="9">
        <f>IF($A94="","",XLOOKUP($A94,RetirementPlan!$B:$B,RetirementPlan!$E:$E,""))</f>
        <v/>
      </c>
      <c r="J94" s="9">
        <f>IF($A94="","",N(XLOOKUP($A94,RetirementPlan!$B:$B,RetirementPlan!$G:$G,0))+N(XLOOKUP($A94,RetirementPlan!$B:$B,RetirementPlan!$H:$H,0)))</f>
        <v/>
      </c>
      <c r="K94">
        <f>IF($A94="","",IF(NOT(ISBLANK(XLOOKUP($A94,RetirementPlan!$B:$B,RetirementPlan!$N:$N,""))),XLOOKUP($A94,RetirementPlan!$B:$B,RetirementPlan!$N:$N,""),LET(cid,$A94,c,FILTER(LocationPlan!$D:$D,LocationPlan!$C:$C=cid),p,FILTER(LocationPlan!$E:$E,LocationPlan!$C:$C=cid),IFERROR(INDEX(c,MATCH(MAX(p),p,0)),""))))</f>
        <v/>
      </c>
    </row>
    <row r="95">
      <c r="B95">
        <f>IF($A95="","",XLOOKUP($A95,Clients!$A:$A,Clients!$D:$D)&amp;" "&amp;XLOOKUP($A95,Clients!$A:$A,Clients!$E:$E))</f>
        <v/>
      </c>
      <c r="C95">
        <f>IF($A95="","",DATEDIF(XLOOKUP($A95,Clients!$A:$A,Clients!$F:$F),VAL_DATE,"Y"))</f>
        <v/>
      </c>
      <c r="D95">
        <f>IF(OR($A95="",E95=""),"",E95-C95)</f>
        <v/>
      </c>
      <c r="E95">
        <f>IF($A95="","",XLOOKUP($A95,RetirementPlan!$B:$B,RetirementPlan!$C:$C,""))</f>
        <v/>
      </c>
      <c r="F95" s="9">
        <f>IF(OR($A95="",D95=""),"",FV(IF(IFERROR(XLOOKUP($A95,RetirementPlan!$B:$B,RetirementPlan!$K:$K,""),"")="",GROWTH,IFERROR(XLOOKUP($A95,RetirementPlan!$B:$B,RetirementPlan!$K:$K,""),"")),D95,-N(XLOOKUP($A95,RetirementPlan!$B:$B,RetirementPlan!$I:$I,0)),-SUMIFS(Assets!$J:$J,Assets!$B:$B,$A95,Assets!$R:$R,"Yes"),0))</f>
        <v/>
      </c>
      <c r="G95" s="9">
        <f>IF(OR($A95="",I95=""),"",MAX(0,(I95-J95)/IF(IFERROR(XLOOKUP($A95,RetirementPlan!$B:$B,RetirementPlan!$M:$M,""),"")="",SWR,IFERROR(XLOOKUP($A95,RetirementPlan!$B:$B,RetirementPlan!$M:$M,""),""))))</f>
        <v/>
      </c>
      <c r="H95" s="9">
        <f>IF(OR($A95="",F95="",G95=""),"",F95-G95)</f>
        <v/>
      </c>
      <c r="I95" s="9">
        <f>IF($A95="","",XLOOKUP($A95,RetirementPlan!$B:$B,RetirementPlan!$E:$E,""))</f>
        <v/>
      </c>
      <c r="J95" s="9">
        <f>IF($A95="","",N(XLOOKUP($A95,RetirementPlan!$B:$B,RetirementPlan!$G:$G,0))+N(XLOOKUP($A95,RetirementPlan!$B:$B,RetirementPlan!$H:$H,0)))</f>
        <v/>
      </c>
      <c r="K95">
        <f>IF($A95="","",IF(NOT(ISBLANK(XLOOKUP($A95,RetirementPlan!$B:$B,RetirementPlan!$N:$N,""))),XLOOKUP($A95,RetirementPlan!$B:$B,RetirementPlan!$N:$N,""),LET(cid,$A95,c,FILTER(LocationPlan!$D:$D,LocationPlan!$C:$C=cid),p,FILTER(LocationPlan!$E:$E,LocationPlan!$C:$C=cid),IFERROR(INDEX(c,MATCH(MAX(p),p,0)),""))))</f>
        <v/>
      </c>
    </row>
    <row r="96">
      <c r="B96">
        <f>IF($A96="","",XLOOKUP($A96,Clients!$A:$A,Clients!$D:$D)&amp;" "&amp;XLOOKUP($A96,Clients!$A:$A,Clients!$E:$E))</f>
        <v/>
      </c>
      <c r="C96">
        <f>IF($A96="","",DATEDIF(XLOOKUP($A96,Clients!$A:$A,Clients!$F:$F),VAL_DATE,"Y"))</f>
        <v/>
      </c>
      <c r="D96">
        <f>IF(OR($A96="",E96=""),"",E96-C96)</f>
        <v/>
      </c>
      <c r="E96">
        <f>IF($A96="","",XLOOKUP($A96,RetirementPlan!$B:$B,RetirementPlan!$C:$C,""))</f>
        <v/>
      </c>
      <c r="F96" s="9">
        <f>IF(OR($A96="",D96=""),"",FV(IF(IFERROR(XLOOKUP($A96,RetirementPlan!$B:$B,RetirementPlan!$K:$K,""),"")="",GROWTH,IFERROR(XLOOKUP($A96,RetirementPlan!$B:$B,RetirementPlan!$K:$K,""),"")),D96,-N(XLOOKUP($A96,RetirementPlan!$B:$B,RetirementPlan!$I:$I,0)),-SUMIFS(Assets!$J:$J,Assets!$B:$B,$A96,Assets!$R:$R,"Yes"),0))</f>
        <v/>
      </c>
      <c r="G96" s="9">
        <f>IF(OR($A96="",I96=""),"",MAX(0,(I96-J96)/IF(IFERROR(XLOOKUP($A96,RetirementPlan!$B:$B,RetirementPlan!$M:$M,""),"")="",SWR,IFERROR(XLOOKUP($A96,RetirementPlan!$B:$B,RetirementPlan!$M:$M,""),""))))</f>
        <v/>
      </c>
      <c r="H96" s="9">
        <f>IF(OR($A96="",F96="",G96=""),"",F96-G96)</f>
        <v/>
      </c>
      <c r="I96" s="9">
        <f>IF($A96="","",XLOOKUP($A96,RetirementPlan!$B:$B,RetirementPlan!$E:$E,""))</f>
        <v/>
      </c>
      <c r="J96" s="9">
        <f>IF($A96="","",N(XLOOKUP($A96,RetirementPlan!$B:$B,RetirementPlan!$G:$G,0))+N(XLOOKUP($A96,RetirementPlan!$B:$B,RetirementPlan!$H:$H,0)))</f>
        <v/>
      </c>
      <c r="K96">
        <f>IF($A96="","",IF(NOT(ISBLANK(XLOOKUP($A96,RetirementPlan!$B:$B,RetirementPlan!$N:$N,""))),XLOOKUP($A96,RetirementPlan!$B:$B,RetirementPlan!$N:$N,""),LET(cid,$A96,c,FILTER(LocationPlan!$D:$D,LocationPlan!$C:$C=cid),p,FILTER(LocationPlan!$E:$E,LocationPlan!$C:$C=cid),IFERROR(INDEX(c,MATCH(MAX(p),p,0)),""))))</f>
        <v/>
      </c>
    </row>
    <row r="97">
      <c r="B97">
        <f>IF($A97="","",XLOOKUP($A97,Clients!$A:$A,Clients!$D:$D)&amp;" "&amp;XLOOKUP($A97,Clients!$A:$A,Clients!$E:$E))</f>
        <v/>
      </c>
      <c r="C97">
        <f>IF($A97="","",DATEDIF(XLOOKUP($A97,Clients!$A:$A,Clients!$F:$F),VAL_DATE,"Y"))</f>
        <v/>
      </c>
      <c r="D97">
        <f>IF(OR($A97="",E97=""),"",E97-C97)</f>
        <v/>
      </c>
      <c r="E97">
        <f>IF($A97="","",XLOOKUP($A97,RetirementPlan!$B:$B,RetirementPlan!$C:$C,""))</f>
        <v/>
      </c>
      <c r="F97" s="9">
        <f>IF(OR($A97="",D97=""),"",FV(IF(IFERROR(XLOOKUP($A97,RetirementPlan!$B:$B,RetirementPlan!$K:$K,""),"")="",GROWTH,IFERROR(XLOOKUP($A97,RetirementPlan!$B:$B,RetirementPlan!$K:$K,""),"")),D97,-N(XLOOKUP($A97,RetirementPlan!$B:$B,RetirementPlan!$I:$I,0)),-SUMIFS(Assets!$J:$J,Assets!$B:$B,$A97,Assets!$R:$R,"Yes"),0))</f>
        <v/>
      </c>
      <c r="G97" s="9">
        <f>IF(OR($A97="",I97=""),"",MAX(0,(I97-J97)/IF(IFERROR(XLOOKUP($A97,RetirementPlan!$B:$B,RetirementPlan!$M:$M,""),"")="",SWR,IFERROR(XLOOKUP($A97,RetirementPlan!$B:$B,RetirementPlan!$M:$M,""),""))))</f>
        <v/>
      </c>
      <c r="H97" s="9">
        <f>IF(OR($A97="",F97="",G97=""),"",F97-G97)</f>
        <v/>
      </c>
      <c r="I97" s="9">
        <f>IF($A97="","",XLOOKUP($A97,RetirementPlan!$B:$B,RetirementPlan!$E:$E,""))</f>
        <v/>
      </c>
      <c r="J97" s="9">
        <f>IF($A97="","",N(XLOOKUP($A97,RetirementPlan!$B:$B,RetirementPlan!$G:$G,0))+N(XLOOKUP($A97,RetirementPlan!$B:$B,RetirementPlan!$H:$H,0)))</f>
        <v/>
      </c>
      <c r="K97">
        <f>IF($A97="","",IF(NOT(ISBLANK(XLOOKUP($A97,RetirementPlan!$B:$B,RetirementPlan!$N:$N,""))),XLOOKUP($A97,RetirementPlan!$B:$B,RetirementPlan!$N:$N,""),LET(cid,$A97,c,FILTER(LocationPlan!$D:$D,LocationPlan!$C:$C=cid),p,FILTER(LocationPlan!$E:$E,LocationPlan!$C:$C=cid),IFERROR(INDEX(c,MATCH(MAX(p),p,0)),""))))</f>
        <v/>
      </c>
    </row>
    <row r="98">
      <c r="B98">
        <f>IF($A98="","",XLOOKUP($A98,Clients!$A:$A,Clients!$D:$D)&amp;" "&amp;XLOOKUP($A98,Clients!$A:$A,Clients!$E:$E))</f>
        <v/>
      </c>
      <c r="C98">
        <f>IF($A98="","",DATEDIF(XLOOKUP($A98,Clients!$A:$A,Clients!$F:$F),VAL_DATE,"Y"))</f>
        <v/>
      </c>
      <c r="D98">
        <f>IF(OR($A98="",E98=""),"",E98-C98)</f>
        <v/>
      </c>
      <c r="E98">
        <f>IF($A98="","",XLOOKUP($A98,RetirementPlan!$B:$B,RetirementPlan!$C:$C,""))</f>
        <v/>
      </c>
      <c r="F98" s="9">
        <f>IF(OR($A98="",D98=""),"",FV(IF(IFERROR(XLOOKUP($A98,RetirementPlan!$B:$B,RetirementPlan!$K:$K,""),"")="",GROWTH,IFERROR(XLOOKUP($A98,RetirementPlan!$B:$B,RetirementPlan!$K:$K,""),"")),D98,-N(XLOOKUP($A98,RetirementPlan!$B:$B,RetirementPlan!$I:$I,0)),-SUMIFS(Assets!$J:$J,Assets!$B:$B,$A98,Assets!$R:$R,"Yes"),0))</f>
        <v/>
      </c>
      <c r="G98" s="9">
        <f>IF(OR($A98="",I98=""),"",MAX(0,(I98-J98)/IF(IFERROR(XLOOKUP($A98,RetirementPlan!$B:$B,RetirementPlan!$M:$M,""),"")="",SWR,IFERROR(XLOOKUP($A98,RetirementPlan!$B:$B,RetirementPlan!$M:$M,""),""))))</f>
        <v/>
      </c>
      <c r="H98" s="9">
        <f>IF(OR($A98="",F98="",G98=""),"",F98-G98)</f>
        <v/>
      </c>
      <c r="I98" s="9">
        <f>IF($A98="","",XLOOKUP($A98,RetirementPlan!$B:$B,RetirementPlan!$E:$E,""))</f>
        <v/>
      </c>
      <c r="J98" s="9">
        <f>IF($A98="","",N(XLOOKUP($A98,RetirementPlan!$B:$B,RetirementPlan!$G:$G,0))+N(XLOOKUP($A98,RetirementPlan!$B:$B,RetirementPlan!$H:$H,0)))</f>
        <v/>
      </c>
      <c r="K98">
        <f>IF($A98="","",IF(NOT(ISBLANK(XLOOKUP($A98,RetirementPlan!$B:$B,RetirementPlan!$N:$N,""))),XLOOKUP($A98,RetirementPlan!$B:$B,RetirementPlan!$N:$N,""),LET(cid,$A98,c,FILTER(LocationPlan!$D:$D,LocationPlan!$C:$C=cid),p,FILTER(LocationPlan!$E:$E,LocationPlan!$C:$C=cid),IFERROR(INDEX(c,MATCH(MAX(p),p,0)),""))))</f>
        <v/>
      </c>
    </row>
    <row r="99">
      <c r="B99">
        <f>IF($A99="","",XLOOKUP($A99,Clients!$A:$A,Clients!$D:$D)&amp;" "&amp;XLOOKUP($A99,Clients!$A:$A,Clients!$E:$E))</f>
        <v/>
      </c>
      <c r="C99">
        <f>IF($A99="","",DATEDIF(XLOOKUP($A99,Clients!$A:$A,Clients!$F:$F),VAL_DATE,"Y"))</f>
        <v/>
      </c>
      <c r="D99">
        <f>IF(OR($A99="",E99=""),"",E99-C99)</f>
        <v/>
      </c>
      <c r="E99">
        <f>IF($A99="","",XLOOKUP($A99,RetirementPlan!$B:$B,RetirementPlan!$C:$C,""))</f>
        <v/>
      </c>
      <c r="F99" s="9">
        <f>IF(OR($A99="",D99=""),"",FV(IF(IFERROR(XLOOKUP($A99,RetirementPlan!$B:$B,RetirementPlan!$K:$K,""),"")="",GROWTH,IFERROR(XLOOKUP($A99,RetirementPlan!$B:$B,RetirementPlan!$K:$K,""),"")),D99,-N(XLOOKUP($A99,RetirementPlan!$B:$B,RetirementPlan!$I:$I,0)),-SUMIFS(Assets!$J:$J,Assets!$B:$B,$A99,Assets!$R:$R,"Yes"),0))</f>
        <v/>
      </c>
      <c r="G99" s="9">
        <f>IF(OR($A99="",I99=""),"",MAX(0,(I99-J99)/IF(IFERROR(XLOOKUP($A99,RetirementPlan!$B:$B,RetirementPlan!$M:$M,""),"")="",SWR,IFERROR(XLOOKUP($A99,RetirementPlan!$B:$B,RetirementPlan!$M:$M,""),""))))</f>
        <v/>
      </c>
      <c r="H99" s="9">
        <f>IF(OR($A99="",F99="",G99=""),"",F99-G99)</f>
        <v/>
      </c>
      <c r="I99" s="9">
        <f>IF($A99="","",XLOOKUP($A99,RetirementPlan!$B:$B,RetirementPlan!$E:$E,""))</f>
        <v/>
      </c>
      <c r="J99" s="9">
        <f>IF($A99="","",N(XLOOKUP($A99,RetirementPlan!$B:$B,RetirementPlan!$G:$G,0))+N(XLOOKUP($A99,RetirementPlan!$B:$B,RetirementPlan!$H:$H,0)))</f>
        <v/>
      </c>
      <c r="K99">
        <f>IF($A99="","",IF(NOT(ISBLANK(XLOOKUP($A99,RetirementPlan!$B:$B,RetirementPlan!$N:$N,""))),XLOOKUP($A99,RetirementPlan!$B:$B,RetirementPlan!$N:$N,""),LET(cid,$A99,c,FILTER(LocationPlan!$D:$D,LocationPlan!$C:$C=cid),p,FILTER(LocationPlan!$E:$E,LocationPlan!$C:$C=cid),IFERROR(INDEX(c,MATCH(MAX(p),p,0)),""))))</f>
        <v/>
      </c>
    </row>
    <row r="100">
      <c r="B100">
        <f>IF($A100="","",XLOOKUP($A100,Clients!$A:$A,Clients!$D:$D)&amp;" "&amp;XLOOKUP($A100,Clients!$A:$A,Clients!$E:$E))</f>
        <v/>
      </c>
      <c r="C100">
        <f>IF($A100="","",DATEDIF(XLOOKUP($A100,Clients!$A:$A,Clients!$F:$F),VAL_DATE,"Y"))</f>
        <v/>
      </c>
      <c r="D100">
        <f>IF(OR($A100="",E100=""),"",E100-C100)</f>
        <v/>
      </c>
      <c r="E100">
        <f>IF($A100="","",XLOOKUP($A100,RetirementPlan!$B:$B,RetirementPlan!$C:$C,""))</f>
        <v/>
      </c>
      <c r="F100" s="9">
        <f>IF(OR($A100="",D100=""),"",FV(IF(IFERROR(XLOOKUP($A100,RetirementPlan!$B:$B,RetirementPlan!$K:$K,""),"")="",GROWTH,IFERROR(XLOOKUP($A100,RetirementPlan!$B:$B,RetirementPlan!$K:$K,""),"")),D100,-N(XLOOKUP($A100,RetirementPlan!$B:$B,RetirementPlan!$I:$I,0)),-SUMIFS(Assets!$J:$J,Assets!$B:$B,$A100,Assets!$R:$R,"Yes"),0))</f>
        <v/>
      </c>
      <c r="G100" s="9">
        <f>IF(OR($A100="",I100=""),"",MAX(0,(I100-J100)/IF(IFERROR(XLOOKUP($A100,RetirementPlan!$B:$B,RetirementPlan!$M:$M,""),"")="",SWR,IFERROR(XLOOKUP($A100,RetirementPlan!$B:$B,RetirementPlan!$M:$M,""),""))))</f>
        <v/>
      </c>
      <c r="H100" s="9">
        <f>IF(OR($A100="",F100="",G100=""),"",F100-G100)</f>
        <v/>
      </c>
      <c r="I100" s="9">
        <f>IF($A100="","",XLOOKUP($A100,RetirementPlan!$B:$B,RetirementPlan!$E:$E,""))</f>
        <v/>
      </c>
      <c r="J100" s="9">
        <f>IF($A100="","",N(XLOOKUP($A100,RetirementPlan!$B:$B,RetirementPlan!$G:$G,0))+N(XLOOKUP($A100,RetirementPlan!$B:$B,RetirementPlan!$H:$H,0)))</f>
        <v/>
      </c>
      <c r="K100">
        <f>IF($A100="","",IF(NOT(ISBLANK(XLOOKUP($A100,RetirementPlan!$B:$B,RetirementPlan!$N:$N,""))),XLOOKUP($A100,RetirementPlan!$B:$B,RetirementPlan!$N:$N,""),LET(cid,$A100,c,FILTER(LocationPlan!$D:$D,LocationPlan!$C:$C=cid),p,FILTER(LocationPlan!$E:$E,LocationPlan!$C:$C=cid),IFERROR(INDEX(c,MATCH(MAX(p),p,0)),""))))</f>
        <v/>
      </c>
    </row>
    <row r="101">
      <c r="B101">
        <f>IF($A101="","",XLOOKUP($A101,Clients!$A:$A,Clients!$D:$D)&amp;" "&amp;XLOOKUP($A101,Clients!$A:$A,Clients!$E:$E))</f>
        <v/>
      </c>
      <c r="C101">
        <f>IF($A101="","",DATEDIF(XLOOKUP($A101,Clients!$A:$A,Clients!$F:$F),VAL_DATE,"Y"))</f>
        <v/>
      </c>
      <c r="D101">
        <f>IF(OR($A101="",E101=""),"",E101-C101)</f>
        <v/>
      </c>
      <c r="E101">
        <f>IF($A101="","",XLOOKUP($A101,RetirementPlan!$B:$B,RetirementPlan!$C:$C,""))</f>
        <v/>
      </c>
      <c r="F101" s="9">
        <f>IF(OR($A101="",D101=""),"",FV(IF(IFERROR(XLOOKUP($A101,RetirementPlan!$B:$B,RetirementPlan!$K:$K,""),"")="",GROWTH,IFERROR(XLOOKUP($A101,RetirementPlan!$B:$B,RetirementPlan!$K:$K,""),"")),D101,-N(XLOOKUP($A101,RetirementPlan!$B:$B,RetirementPlan!$I:$I,0)),-SUMIFS(Assets!$J:$J,Assets!$B:$B,$A101,Assets!$R:$R,"Yes"),0))</f>
        <v/>
      </c>
      <c r="G101" s="9">
        <f>IF(OR($A101="",I101=""),"",MAX(0,(I101-J101)/IF(IFERROR(XLOOKUP($A101,RetirementPlan!$B:$B,RetirementPlan!$M:$M,""),"")="",SWR,IFERROR(XLOOKUP($A101,RetirementPlan!$B:$B,RetirementPlan!$M:$M,""),""))))</f>
        <v/>
      </c>
      <c r="H101" s="9">
        <f>IF(OR($A101="",F101="",G101=""),"",F101-G101)</f>
        <v/>
      </c>
      <c r="I101" s="9">
        <f>IF($A101="","",XLOOKUP($A101,RetirementPlan!$B:$B,RetirementPlan!$E:$E,""))</f>
        <v/>
      </c>
      <c r="J101" s="9">
        <f>IF($A101="","",N(XLOOKUP($A101,RetirementPlan!$B:$B,RetirementPlan!$G:$G,0))+N(XLOOKUP($A101,RetirementPlan!$B:$B,RetirementPlan!$H:$H,0)))</f>
        <v/>
      </c>
      <c r="K101">
        <f>IF($A101="","",IF(NOT(ISBLANK(XLOOKUP($A101,RetirementPlan!$B:$B,RetirementPlan!$N:$N,""))),XLOOKUP($A101,RetirementPlan!$B:$B,RetirementPlan!$N:$N,""),LET(cid,$A101,c,FILTER(LocationPlan!$D:$D,LocationPlan!$C:$C=cid),p,FILTER(LocationPlan!$E:$E,LocationPlan!$C:$C=cid),IFERROR(INDEX(c,MATCH(MAX(p),p,0)),""))))</f>
        <v/>
      </c>
    </row>
    <row r="102">
      <c r="B102">
        <f>IF($A102="","",XLOOKUP($A102,Clients!$A:$A,Clients!$D:$D)&amp;" "&amp;XLOOKUP($A102,Clients!$A:$A,Clients!$E:$E))</f>
        <v/>
      </c>
      <c r="C102">
        <f>IF($A102="","",DATEDIF(XLOOKUP($A102,Clients!$A:$A,Clients!$F:$F),VAL_DATE,"Y"))</f>
        <v/>
      </c>
      <c r="D102">
        <f>IF(OR($A102="",E102=""),"",E102-C102)</f>
        <v/>
      </c>
      <c r="E102">
        <f>IF($A102="","",XLOOKUP($A102,RetirementPlan!$B:$B,RetirementPlan!$C:$C,""))</f>
        <v/>
      </c>
      <c r="F102" s="9">
        <f>IF(OR($A102="",D102=""),"",FV(IF(IFERROR(XLOOKUP($A102,RetirementPlan!$B:$B,RetirementPlan!$K:$K,""),"")="",GROWTH,IFERROR(XLOOKUP($A102,RetirementPlan!$B:$B,RetirementPlan!$K:$K,""),"")),D102,-N(XLOOKUP($A102,RetirementPlan!$B:$B,RetirementPlan!$I:$I,0)),-SUMIFS(Assets!$J:$J,Assets!$B:$B,$A102,Assets!$R:$R,"Yes"),0))</f>
        <v/>
      </c>
      <c r="G102" s="9">
        <f>IF(OR($A102="",I102=""),"",MAX(0,(I102-J102)/IF(IFERROR(XLOOKUP($A102,RetirementPlan!$B:$B,RetirementPlan!$M:$M,""),"")="",SWR,IFERROR(XLOOKUP($A102,RetirementPlan!$B:$B,RetirementPlan!$M:$M,""),""))))</f>
        <v/>
      </c>
      <c r="H102" s="9">
        <f>IF(OR($A102="",F102="",G102=""),"",F102-G102)</f>
        <v/>
      </c>
      <c r="I102" s="9">
        <f>IF($A102="","",XLOOKUP($A102,RetirementPlan!$B:$B,RetirementPlan!$E:$E,""))</f>
        <v/>
      </c>
      <c r="J102" s="9">
        <f>IF($A102="","",N(XLOOKUP($A102,RetirementPlan!$B:$B,RetirementPlan!$G:$G,0))+N(XLOOKUP($A102,RetirementPlan!$B:$B,RetirementPlan!$H:$H,0)))</f>
        <v/>
      </c>
      <c r="K102">
        <f>IF($A102="","",IF(NOT(ISBLANK(XLOOKUP($A102,RetirementPlan!$B:$B,RetirementPlan!$N:$N,""))),XLOOKUP($A102,RetirementPlan!$B:$B,RetirementPlan!$N:$N,""),LET(cid,$A102,c,FILTER(LocationPlan!$D:$D,LocationPlan!$C:$C=cid),p,FILTER(LocationPlan!$E:$E,LocationPlan!$C:$C=cid),IFERROR(INDEX(c,MATCH(MAX(p),p,0)),""))))</f>
        <v/>
      </c>
    </row>
    <row r="103">
      <c r="B103">
        <f>IF($A103="","",XLOOKUP($A103,Clients!$A:$A,Clients!$D:$D)&amp;" "&amp;XLOOKUP($A103,Clients!$A:$A,Clients!$E:$E))</f>
        <v/>
      </c>
      <c r="C103">
        <f>IF($A103="","",DATEDIF(XLOOKUP($A103,Clients!$A:$A,Clients!$F:$F),VAL_DATE,"Y"))</f>
        <v/>
      </c>
      <c r="D103">
        <f>IF(OR($A103="",E103=""),"",E103-C103)</f>
        <v/>
      </c>
      <c r="E103">
        <f>IF($A103="","",XLOOKUP($A103,RetirementPlan!$B:$B,RetirementPlan!$C:$C,""))</f>
        <v/>
      </c>
      <c r="F103" s="9">
        <f>IF(OR($A103="",D103=""),"",FV(IF(IFERROR(XLOOKUP($A103,RetirementPlan!$B:$B,RetirementPlan!$K:$K,""),"")="",GROWTH,IFERROR(XLOOKUP($A103,RetirementPlan!$B:$B,RetirementPlan!$K:$K,""),"")),D103,-N(XLOOKUP($A103,RetirementPlan!$B:$B,RetirementPlan!$I:$I,0)),-SUMIFS(Assets!$J:$J,Assets!$B:$B,$A103,Assets!$R:$R,"Yes"),0))</f>
        <v/>
      </c>
      <c r="G103" s="9">
        <f>IF(OR($A103="",I103=""),"",MAX(0,(I103-J103)/IF(IFERROR(XLOOKUP($A103,RetirementPlan!$B:$B,RetirementPlan!$M:$M,""),"")="",SWR,IFERROR(XLOOKUP($A103,RetirementPlan!$B:$B,RetirementPlan!$M:$M,""),""))))</f>
        <v/>
      </c>
      <c r="H103" s="9">
        <f>IF(OR($A103="",F103="",G103=""),"",F103-G103)</f>
        <v/>
      </c>
      <c r="I103" s="9">
        <f>IF($A103="","",XLOOKUP($A103,RetirementPlan!$B:$B,RetirementPlan!$E:$E,""))</f>
        <v/>
      </c>
      <c r="J103" s="9">
        <f>IF($A103="","",N(XLOOKUP($A103,RetirementPlan!$B:$B,RetirementPlan!$G:$G,0))+N(XLOOKUP($A103,RetirementPlan!$B:$B,RetirementPlan!$H:$H,0)))</f>
        <v/>
      </c>
      <c r="K103">
        <f>IF($A103="","",IF(NOT(ISBLANK(XLOOKUP($A103,RetirementPlan!$B:$B,RetirementPlan!$N:$N,""))),XLOOKUP($A103,RetirementPlan!$B:$B,RetirementPlan!$N:$N,""),LET(cid,$A103,c,FILTER(LocationPlan!$D:$D,LocationPlan!$C:$C=cid),p,FILTER(LocationPlan!$E:$E,LocationPlan!$C:$C=cid),IFERROR(INDEX(c,MATCH(MAX(p),p,0)),""))))</f>
        <v/>
      </c>
    </row>
    <row r="104">
      <c r="B104">
        <f>IF($A104="","",XLOOKUP($A104,Clients!$A:$A,Clients!$D:$D)&amp;" "&amp;XLOOKUP($A104,Clients!$A:$A,Clients!$E:$E))</f>
        <v/>
      </c>
      <c r="C104">
        <f>IF($A104="","",DATEDIF(XLOOKUP($A104,Clients!$A:$A,Clients!$F:$F),VAL_DATE,"Y"))</f>
        <v/>
      </c>
      <c r="D104">
        <f>IF(OR($A104="",E104=""),"",E104-C104)</f>
        <v/>
      </c>
      <c r="E104">
        <f>IF($A104="","",XLOOKUP($A104,RetirementPlan!$B:$B,RetirementPlan!$C:$C,""))</f>
        <v/>
      </c>
      <c r="F104" s="9">
        <f>IF(OR($A104="",D104=""),"",FV(IF(IFERROR(XLOOKUP($A104,RetirementPlan!$B:$B,RetirementPlan!$K:$K,""),"")="",GROWTH,IFERROR(XLOOKUP($A104,RetirementPlan!$B:$B,RetirementPlan!$K:$K,""),"")),D104,-N(XLOOKUP($A104,RetirementPlan!$B:$B,RetirementPlan!$I:$I,0)),-SUMIFS(Assets!$J:$J,Assets!$B:$B,$A104,Assets!$R:$R,"Yes"),0))</f>
        <v/>
      </c>
      <c r="G104" s="9">
        <f>IF(OR($A104="",I104=""),"",MAX(0,(I104-J104)/IF(IFERROR(XLOOKUP($A104,RetirementPlan!$B:$B,RetirementPlan!$M:$M,""),"")="",SWR,IFERROR(XLOOKUP($A104,RetirementPlan!$B:$B,RetirementPlan!$M:$M,""),""))))</f>
        <v/>
      </c>
      <c r="H104" s="9">
        <f>IF(OR($A104="",F104="",G104=""),"",F104-G104)</f>
        <v/>
      </c>
      <c r="I104" s="9">
        <f>IF($A104="","",XLOOKUP($A104,RetirementPlan!$B:$B,RetirementPlan!$E:$E,""))</f>
        <v/>
      </c>
      <c r="J104" s="9">
        <f>IF($A104="","",N(XLOOKUP($A104,RetirementPlan!$B:$B,RetirementPlan!$G:$G,0))+N(XLOOKUP($A104,RetirementPlan!$B:$B,RetirementPlan!$H:$H,0)))</f>
        <v/>
      </c>
      <c r="K104">
        <f>IF($A104="","",IF(NOT(ISBLANK(XLOOKUP($A104,RetirementPlan!$B:$B,RetirementPlan!$N:$N,""))),XLOOKUP($A104,RetirementPlan!$B:$B,RetirementPlan!$N:$N,""),LET(cid,$A104,c,FILTER(LocationPlan!$D:$D,LocationPlan!$C:$C=cid),p,FILTER(LocationPlan!$E:$E,LocationPlan!$C:$C=cid),IFERROR(INDEX(c,MATCH(MAX(p),p,0)),""))))</f>
        <v/>
      </c>
    </row>
    <row r="105">
      <c r="B105">
        <f>IF($A105="","",XLOOKUP($A105,Clients!$A:$A,Clients!$D:$D)&amp;" "&amp;XLOOKUP($A105,Clients!$A:$A,Clients!$E:$E))</f>
        <v/>
      </c>
      <c r="C105">
        <f>IF($A105="","",DATEDIF(XLOOKUP($A105,Clients!$A:$A,Clients!$F:$F),VAL_DATE,"Y"))</f>
        <v/>
      </c>
      <c r="D105">
        <f>IF(OR($A105="",E105=""),"",E105-C105)</f>
        <v/>
      </c>
      <c r="E105">
        <f>IF($A105="","",XLOOKUP($A105,RetirementPlan!$B:$B,RetirementPlan!$C:$C,""))</f>
        <v/>
      </c>
      <c r="F105" s="9">
        <f>IF(OR($A105="",D105=""),"",FV(IF(IFERROR(XLOOKUP($A105,RetirementPlan!$B:$B,RetirementPlan!$K:$K,""),"")="",GROWTH,IFERROR(XLOOKUP($A105,RetirementPlan!$B:$B,RetirementPlan!$K:$K,""),"")),D105,-N(XLOOKUP($A105,RetirementPlan!$B:$B,RetirementPlan!$I:$I,0)),-SUMIFS(Assets!$J:$J,Assets!$B:$B,$A105,Assets!$R:$R,"Yes"),0))</f>
        <v/>
      </c>
      <c r="G105" s="9">
        <f>IF(OR($A105="",I105=""),"",MAX(0,(I105-J105)/IF(IFERROR(XLOOKUP($A105,RetirementPlan!$B:$B,RetirementPlan!$M:$M,""),"")="",SWR,IFERROR(XLOOKUP($A105,RetirementPlan!$B:$B,RetirementPlan!$M:$M,""),""))))</f>
        <v/>
      </c>
      <c r="H105" s="9">
        <f>IF(OR($A105="",F105="",G105=""),"",F105-G105)</f>
        <v/>
      </c>
      <c r="I105" s="9">
        <f>IF($A105="","",XLOOKUP($A105,RetirementPlan!$B:$B,RetirementPlan!$E:$E,""))</f>
        <v/>
      </c>
      <c r="J105" s="9">
        <f>IF($A105="","",N(XLOOKUP($A105,RetirementPlan!$B:$B,RetirementPlan!$G:$G,0))+N(XLOOKUP($A105,RetirementPlan!$B:$B,RetirementPlan!$H:$H,0)))</f>
        <v/>
      </c>
      <c r="K105">
        <f>IF($A105="","",IF(NOT(ISBLANK(XLOOKUP($A105,RetirementPlan!$B:$B,RetirementPlan!$N:$N,""))),XLOOKUP($A105,RetirementPlan!$B:$B,RetirementPlan!$N:$N,""),LET(cid,$A105,c,FILTER(LocationPlan!$D:$D,LocationPlan!$C:$C=cid),p,FILTER(LocationPlan!$E:$E,LocationPlan!$C:$C=cid),IFERROR(INDEX(c,MATCH(MAX(p),p,0)),""))))</f>
        <v/>
      </c>
    </row>
    <row r="106">
      <c r="B106">
        <f>IF($A106="","",XLOOKUP($A106,Clients!$A:$A,Clients!$D:$D)&amp;" "&amp;XLOOKUP($A106,Clients!$A:$A,Clients!$E:$E))</f>
        <v/>
      </c>
      <c r="C106">
        <f>IF($A106="","",DATEDIF(XLOOKUP($A106,Clients!$A:$A,Clients!$F:$F),VAL_DATE,"Y"))</f>
        <v/>
      </c>
      <c r="D106">
        <f>IF(OR($A106="",E106=""),"",E106-C106)</f>
        <v/>
      </c>
      <c r="E106">
        <f>IF($A106="","",XLOOKUP($A106,RetirementPlan!$B:$B,RetirementPlan!$C:$C,""))</f>
        <v/>
      </c>
      <c r="F106" s="9">
        <f>IF(OR($A106="",D106=""),"",FV(IF(IFERROR(XLOOKUP($A106,RetirementPlan!$B:$B,RetirementPlan!$K:$K,""),"")="",GROWTH,IFERROR(XLOOKUP($A106,RetirementPlan!$B:$B,RetirementPlan!$K:$K,""),"")),D106,-N(XLOOKUP($A106,RetirementPlan!$B:$B,RetirementPlan!$I:$I,0)),-SUMIFS(Assets!$J:$J,Assets!$B:$B,$A106,Assets!$R:$R,"Yes"),0))</f>
        <v/>
      </c>
      <c r="G106" s="9">
        <f>IF(OR($A106="",I106=""),"",MAX(0,(I106-J106)/IF(IFERROR(XLOOKUP($A106,RetirementPlan!$B:$B,RetirementPlan!$M:$M,""),"")="",SWR,IFERROR(XLOOKUP($A106,RetirementPlan!$B:$B,RetirementPlan!$M:$M,""),""))))</f>
        <v/>
      </c>
      <c r="H106" s="9">
        <f>IF(OR($A106="",F106="",G106=""),"",F106-G106)</f>
        <v/>
      </c>
      <c r="I106" s="9">
        <f>IF($A106="","",XLOOKUP($A106,RetirementPlan!$B:$B,RetirementPlan!$E:$E,""))</f>
        <v/>
      </c>
      <c r="J106" s="9">
        <f>IF($A106="","",N(XLOOKUP($A106,RetirementPlan!$B:$B,RetirementPlan!$G:$G,0))+N(XLOOKUP($A106,RetirementPlan!$B:$B,RetirementPlan!$H:$H,0)))</f>
        <v/>
      </c>
      <c r="K106">
        <f>IF($A106="","",IF(NOT(ISBLANK(XLOOKUP($A106,RetirementPlan!$B:$B,RetirementPlan!$N:$N,""))),XLOOKUP($A106,RetirementPlan!$B:$B,RetirementPlan!$N:$N,""),LET(cid,$A106,c,FILTER(LocationPlan!$D:$D,LocationPlan!$C:$C=cid),p,FILTER(LocationPlan!$E:$E,LocationPlan!$C:$C=cid),IFERROR(INDEX(c,MATCH(MAX(p),p,0)),""))))</f>
        <v/>
      </c>
    </row>
    <row r="107">
      <c r="B107">
        <f>IF($A107="","",XLOOKUP($A107,Clients!$A:$A,Clients!$D:$D)&amp;" "&amp;XLOOKUP($A107,Clients!$A:$A,Clients!$E:$E))</f>
        <v/>
      </c>
      <c r="C107">
        <f>IF($A107="","",DATEDIF(XLOOKUP($A107,Clients!$A:$A,Clients!$F:$F),VAL_DATE,"Y"))</f>
        <v/>
      </c>
      <c r="D107">
        <f>IF(OR($A107="",E107=""),"",E107-C107)</f>
        <v/>
      </c>
      <c r="E107">
        <f>IF($A107="","",XLOOKUP($A107,RetirementPlan!$B:$B,RetirementPlan!$C:$C,""))</f>
        <v/>
      </c>
      <c r="F107" s="9">
        <f>IF(OR($A107="",D107=""),"",FV(IF(IFERROR(XLOOKUP($A107,RetirementPlan!$B:$B,RetirementPlan!$K:$K,""),"")="",GROWTH,IFERROR(XLOOKUP($A107,RetirementPlan!$B:$B,RetirementPlan!$K:$K,""),"")),D107,-N(XLOOKUP($A107,RetirementPlan!$B:$B,RetirementPlan!$I:$I,0)),-SUMIFS(Assets!$J:$J,Assets!$B:$B,$A107,Assets!$R:$R,"Yes"),0))</f>
        <v/>
      </c>
      <c r="G107" s="9">
        <f>IF(OR($A107="",I107=""),"",MAX(0,(I107-J107)/IF(IFERROR(XLOOKUP($A107,RetirementPlan!$B:$B,RetirementPlan!$M:$M,""),"")="",SWR,IFERROR(XLOOKUP($A107,RetirementPlan!$B:$B,RetirementPlan!$M:$M,""),""))))</f>
        <v/>
      </c>
      <c r="H107" s="9">
        <f>IF(OR($A107="",F107="",G107=""),"",F107-G107)</f>
        <v/>
      </c>
      <c r="I107" s="9">
        <f>IF($A107="","",XLOOKUP($A107,RetirementPlan!$B:$B,RetirementPlan!$E:$E,""))</f>
        <v/>
      </c>
      <c r="J107" s="9">
        <f>IF($A107="","",N(XLOOKUP($A107,RetirementPlan!$B:$B,RetirementPlan!$G:$G,0))+N(XLOOKUP($A107,RetirementPlan!$B:$B,RetirementPlan!$H:$H,0)))</f>
        <v/>
      </c>
      <c r="K107">
        <f>IF($A107="","",IF(NOT(ISBLANK(XLOOKUP($A107,RetirementPlan!$B:$B,RetirementPlan!$N:$N,""))),XLOOKUP($A107,RetirementPlan!$B:$B,RetirementPlan!$N:$N,""),LET(cid,$A107,c,FILTER(LocationPlan!$D:$D,LocationPlan!$C:$C=cid),p,FILTER(LocationPlan!$E:$E,LocationPlan!$C:$C=cid),IFERROR(INDEX(c,MATCH(MAX(p),p,0)),""))))</f>
        <v/>
      </c>
    </row>
    <row r="108">
      <c r="B108">
        <f>IF($A108="","",XLOOKUP($A108,Clients!$A:$A,Clients!$D:$D)&amp;" "&amp;XLOOKUP($A108,Clients!$A:$A,Clients!$E:$E))</f>
        <v/>
      </c>
      <c r="C108">
        <f>IF($A108="","",DATEDIF(XLOOKUP($A108,Clients!$A:$A,Clients!$F:$F),VAL_DATE,"Y"))</f>
        <v/>
      </c>
      <c r="D108">
        <f>IF(OR($A108="",E108=""),"",E108-C108)</f>
        <v/>
      </c>
      <c r="E108">
        <f>IF($A108="","",XLOOKUP($A108,RetirementPlan!$B:$B,RetirementPlan!$C:$C,""))</f>
        <v/>
      </c>
      <c r="F108" s="9">
        <f>IF(OR($A108="",D108=""),"",FV(IF(IFERROR(XLOOKUP($A108,RetirementPlan!$B:$B,RetirementPlan!$K:$K,""),"")="",GROWTH,IFERROR(XLOOKUP($A108,RetirementPlan!$B:$B,RetirementPlan!$K:$K,""),"")),D108,-N(XLOOKUP($A108,RetirementPlan!$B:$B,RetirementPlan!$I:$I,0)),-SUMIFS(Assets!$J:$J,Assets!$B:$B,$A108,Assets!$R:$R,"Yes"),0))</f>
        <v/>
      </c>
      <c r="G108" s="9">
        <f>IF(OR($A108="",I108=""),"",MAX(0,(I108-J108)/IF(IFERROR(XLOOKUP($A108,RetirementPlan!$B:$B,RetirementPlan!$M:$M,""),"")="",SWR,IFERROR(XLOOKUP($A108,RetirementPlan!$B:$B,RetirementPlan!$M:$M,""),""))))</f>
        <v/>
      </c>
      <c r="H108" s="9">
        <f>IF(OR($A108="",F108="",G108=""),"",F108-G108)</f>
        <v/>
      </c>
      <c r="I108" s="9">
        <f>IF($A108="","",XLOOKUP($A108,RetirementPlan!$B:$B,RetirementPlan!$E:$E,""))</f>
        <v/>
      </c>
      <c r="J108" s="9">
        <f>IF($A108="","",N(XLOOKUP($A108,RetirementPlan!$B:$B,RetirementPlan!$G:$G,0))+N(XLOOKUP($A108,RetirementPlan!$B:$B,RetirementPlan!$H:$H,0)))</f>
        <v/>
      </c>
      <c r="K108">
        <f>IF($A108="","",IF(NOT(ISBLANK(XLOOKUP($A108,RetirementPlan!$B:$B,RetirementPlan!$N:$N,""))),XLOOKUP($A108,RetirementPlan!$B:$B,RetirementPlan!$N:$N,""),LET(cid,$A108,c,FILTER(LocationPlan!$D:$D,LocationPlan!$C:$C=cid),p,FILTER(LocationPlan!$E:$E,LocationPlan!$C:$C=cid),IFERROR(INDEX(c,MATCH(MAX(p),p,0)),""))))</f>
        <v/>
      </c>
    </row>
    <row r="109">
      <c r="B109">
        <f>IF($A109="","",XLOOKUP($A109,Clients!$A:$A,Clients!$D:$D)&amp;" "&amp;XLOOKUP($A109,Clients!$A:$A,Clients!$E:$E))</f>
        <v/>
      </c>
      <c r="C109">
        <f>IF($A109="","",DATEDIF(XLOOKUP($A109,Clients!$A:$A,Clients!$F:$F),VAL_DATE,"Y"))</f>
        <v/>
      </c>
      <c r="D109">
        <f>IF(OR($A109="",E109=""),"",E109-C109)</f>
        <v/>
      </c>
      <c r="E109">
        <f>IF($A109="","",XLOOKUP($A109,RetirementPlan!$B:$B,RetirementPlan!$C:$C,""))</f>
        <v/>
      </c>
      <c r="F109" s="9">
        <f>IF(OR($A109="",D109=""),"",FV(IF(IFERROR(XLOOKUP($A109,RetirementPlan!$B:$B,RetirementPlan!$K:$K,""),"")="",GROWTH,IFERROR(XLOOKUP($A109,RetirementPlan!$B:$B,RetirementPlan!$K:$K,""),"")),D109,-N(XLOOKUP($A109,RetirementPlan!$B:$B,RetirementPlan!$I:$I,0)),-SUMIFS(Assets!$J:$J,Assets!$B:$B,$A109,Assets!$R:$R,"Yes"),0))</f>
        <v/>
      </c>
      <c r="G109" s="9">
        <f>IF(OR($A109="",I109=""),"",MAX(0,(I109-J109)/IF(IFERROR(XLOOKUP($A109,RetirementPlan!$B:$B,RetirementPlan!$M:$M,""),"")="",SWR,IFERROR(XLOOKUP($A109,RetirementPlan!$B:$B,RetirementPlan!$M:$M,""),""))))</f>
        <v/>
      </c>
      <c r="H109" s="9">
        <f>IF(OR($A109="",F109="",G109=""),"",F109-G109)</f>
        <v/>
      </c>
      <c r="I109" s="9">
        <f>IF($A109="","",XLOOKUP($A109,RetirementPlan!$B:$B,RetirementPlan!$E:$E,""))</f>
        <v/>
      </c>
      <c r="J109" s="9">
        <f>IF($A109="","",N(XLOOKUP($A109,RetirementPlan!$B:$B,RetirementPlan!$G:$G,0))+N(XLOOKUP($A109,RetirementPlan!$B:$B,RetirementPlan!$H:$H,0)))</f>
        <v/>
      </c>
      <c r="K109">
        <f>IF($A109="","",IF(NOT(ISBLANK(XLOOKUP($A109,RetirementPlan!$B:$B,RetirementPlan!$N:$N,""))),XLOOKUP($A109,RetirementPlan!$B:$B,RetirementPlan!$N:$N,""),LET(cid,$A109,c,FILTER(LocationPlan!$D:$D,LocationPlan!$C:$C=cid),p,FILTER(LocationPlan!$E:$E,LocationPlan!$C:$C=cid),IFERROR(INDEX(c,MATCH(MAX(p),p,0)),""))))</f>
        <v/>
      </c>
    </row>
    <row r="110">
      <c r="B110">
        <f>IF($A110="","",XLOOKUP($A110,Clients!$A:$A,Clients!$D:$D)&amp;" "&amp;XLOOKUP($A110,Clients!$A:$A,Clients!$E:$E))</f>
        <v/>
      </c>
      <c r="C110">
        <f>IF($A110="","",DATEDIF(XLOOKUP($A110,Clients!$A:$A,Clients!$F:$F),VAL_DATE,"Y"))</f>
        <v/>
      </c>
      <c r="D110">
        <f>IF(OR($A110="",E110=""),"",E110-C110)</f>
        <v/>
      </c>
      <c r="E110">
        <f>IF($A110="","",XLOOKUP($A110,RetirementPlan!$B:$B,RetirementPlan!$C:$C,""))</f>
        <v/>
      </c>
      <c r="F110" s="9">
        <f>IF(OR($A110="",D110=""),"",FV(IF(IFERROR(XLOOKUP($A110,RetirementPlan!$B:$B,RetirementPlan!$K:$K,""),"")="",GROWTH,IFERROR(XLOOKUP($A110,RetirementPlan!$B:$B,RetirementPlan!$K:$K,""),"")),D110,-N(XLOOKUP($A110,RetirementPlan!$B:$B,RetirementPlan!$I:$I,0)),-SUMIFS(Assets!$J:$J,Assets!$B:$B,$A110,Assets!$R:$R,"Yes"),0))</f>
        <v/>
      </c>
      <c r="G110" s="9">
        <f>IF(OR($A110="",I110=""),"",MAX(0,(I110-J110)/IF(IFERROR(XLOOKUP($A110,RetirementPlan!$B:$B,RetirementPlan!$M:$M,""),"")="",SWR,IFERROR(XLOOKUP($A110,RetirementPlan!$B:$B,RetirementPlan!$M:$M,""),""))))</f>
        <v/>
      </c>
      <c r="H110" s="9">
        <f>IF(OR($A110="",F110="",G110=""),"",F110-G110)</f>
        <v/>
      </c>
      <c r="I110" s="9">
        <f>IF($A110="","",XLOOKUP($A110,RetirementPlan!$B:$B,RetirementPlan!$E:$E,""))</f>
        <v/>
      </c>
      <c r="J110" s="9">
        <f>IF($A110="","",N(XLOOKUP($A110,RetirementPlan!$B:$B,RetirementPlan!$G:$G,0))+N(XLOOKUP($A110,RetirementPlan!$B:$B,RetirementPlan!$H:$H,0)))</f>
        <v/>
      </c>
      <c r="K110">
        <f>IF($A110="","",IF(NOT(ISBLANK(XLOOKUP($A110,RetirementPlan!$B:$B,RetirementPlan!$N:$N,""))),XLOOKUP($A110,RetirementPlan!$B:$B,RetirementPlan!$N:$N,""),LET(cid,$A110,c,FILTER(LocationPlan!$D:$D,LocationPlan!$C:$C=cid),p,FILTER(LocationPlan!$E:$E,LocationPlan!$C:$C=cid),IFERROR(INDEX(c,MATCH(MAX(p),p,0)),""))))</f>
        <v/>
      </c>
    </row>
    <row r="111">
      <c r="B111">
        <f>IF($A111="","",XLOOKUP($A111,Clients!$A:$A,Clients!$D:$D)&amp;" "&amp;XLOOKUP($A111,Clients!$A:$A,Clients!$E:$E))</f>
        <v/>
      </c>
      <c r="C111">
        <f>IF($A111="","",DATEDIF(XLOOKUP($A111,Clients!$A:$A,Clients!$F:$F),VAL_DATE,"Y"))</f>
        <v/>
      </c>
      <c r="D111">
        <f>IF(OR($A111="",E111=""),"",E111-C111)</f>
        <v/>
      </c>
      <c r="E111">
        <f>IF($A111="","",XLOOKUP($A111,RetirementPlan!$B:$B,RetirementPlan!$C:$C,""))</f>
        <v/>
      </c>
      <c r="F111" s="9">
        <f>IF(OR($A111="",D111=""),"",FV(IF(IFERROR(XLOOKUP($A111,RetirementPlan!$B:$B,RetirementPlan!$K:$K,""),"")="",GROWTH,IFERROR(XLOOKUP($A111,RetirementPlan!$B:$B,RetirementPlan!$K:$K,""),"")),D111,-N(XLOOKUP($A111,RetirementPlan!$B:$B,RetirementPlan!$I:$I,0)),-SUMIFS(Assets!$J:$J,Assets!$B:$B,$A111,Assets!$R:$R,"Yes"),0))</f>
        <v/>
      </c>
      <c r="G111" s="9">
        <f>IF(OR($A111="",I111=""),"",MAX(0,(I111-J111)/IF(IFERROR(XLOOKUP($A111,RetirementPlan!$B:$B,RetirementPlan!$M:$M,""),"")="",SWR,IFERROR(XLOOKUP($A111,RetirementPlan!$B:$B,RetirementPlan!$M:$M,""),""))))</f>
        <v/>
      </c>
      <c r="H111" s="9">
        <f>IF(OR($A111="",F111="",G111=""),"",F111-G111)</f>
        <v/>
      </c>
      <c r="I111" s="9">
        <f>IF($A111="","",XLOOKUP($A111,RetirementPlan!$B:$B,RetirementPlan!$E:$E,""))</f>
        <v/>
      </c>
      <c r="J111" s="9">
        <f>IF($A111="","",N(XLOOKUP($A111,RetirementPlan!$B:$B,RetirementPlan!$G:$G,0))+N(XLOOKUP($A111,RetirementPlan!$B:$B,RetirementPlan!$H:$H,0)))</f>
        <v/>
      </c>
      <c r="K111">
        <f>IF($A111="","",IF(NOT(ISBLANK(XLOOKUP($A111,RetirementPlan!$B:$B,RetirementPlan!$N:$N,""))),XLOOKUP($A111,RetirementPlan!$B:$B,RetirementPlan!$N:$N,""),LET(cid,$A111,c,FILTER(LocationPlan!$D:$D,LocationPlan!$C:$C=cid),p,FILTER(LocationPlan!$E:$E,LocationPlan!$C:$C=cid),IFERROR(INDEX(c,MATCH(MAX(p),p,0)),""))))</f>
        <v/>
      </c>
    </row>
    <row r="112">
      <c r="B112">
        <f>IF($A112="","",XLOOKUP($A112,Clients!$A:$A,Clients!$D:$D)&amp;" "&amp;XLOOKUP($A112,Clients!$A:$A,Clients!$E:$E))</f>
        <v/>
      </c>
      <c r="C112">
        <f>IF($A112="","",DATEDIF(XLOOKUP($A112,Clients!$A:$A,Clients!$F:$F),VAL_DATE,"Y"))</f>
        <v/>
      </c>
      <c r="D112">
        <f>IF(OR($A112="",E112=""),"",E112-C112)</f>
        <v/>
      </c>
      <c r="E112">
        <f>IF($A112="","",XLOOKUP($A112,RetirementPlan!$B:$B,RetirementPlan!$C:$C,""))</f>
        <v/>
      </c>
      <c r="F112" s="9">
        <f>IF(OR($A112="",D112=""),"",FV(IF(IFERROR(XLOOKUP($A112,RetirementPlan!$B:$B,RetirementPlan!$K:$K,""),"")="",GROWTH,IFERROR(XLOOKUP($A112,RetirementPlan!$B:$B,RetirementPlan!$K:$K,""),"")),D112,-N(XLOOKUP($A112,RetirementPlan!$B:$B,RetirementPlan!$I:$I,0)),-SUMIFS(Assets!$J:$J,Assets!$B:$B,$A112,Assets!$R:$R,"Yes"),0))</f>
        <v/>
      </c>
      <c r="G112" s="9">
        <f>IF(OR($A112="",I112=""),"",MAX(0,(I112-J112)/IF(IFERROR(XLOOKUP($A112,RetirementPlan!$B:$B,RetirementPlan!$M:$M,""),"")="",SWR,IFERROR(XLOOKUP($A112,RetirementPlan!$B:$B,RetirementPlan!$M:$M,""),""))))</f>
        <v/>
      </c>
      <c r="H112" s="9">
        <f>IF(OR($A112="",F112="",G112=""),"",F112-G112)</f>
        <v/>
      </c>
      <c r="I112" s="9">
        <f>IF($A112="","",XLOOKUP($A112,RetirementPlan!$B:$B,RetirementPlan!$E:$E,""))</f>
        <v/>
      </c>
      <c r="J112" s="9">
        <f>IF($A112="","",N(XLOOKUP($A112,RetirementPlan!$B:$B,RetirementPlan!$G:$G,0))+N(XLOOKUP($A112,RetirementPlan!$B:$B,RetirementPlan!$H:$H,0)))</f>
        <v/>
      </c>
      <c r="K112">
        <f>IF($A112="","",IF(NOT(ISBLANK(XLOOKUP($A112,RetirementPlan!$B:$B,RetirementPlan!$N:$N,""))),XLOOKUP($A112,RetirementPlan!$B:$B,RetirementPlan!$N:$N,""),LET(cid,$A112,c,FILTER(LocationPlan!$D:$D,LocationPlan!$C:$C=cid),p,FILTER(LocationPlan!$E:$E,LocationPlan!$C:$C=cid),IFERROR(INDEX(c,MATCH(MAX(p),p,0)),""))))</f>
        <v/>
      </c>
    </row>
    <row r="113">
      <c r="B113">
        <f>IF($A113="","",XLOOKUP($A113,Clients!$A:$A,Clients!$D:$D)&amp;" "&amp;XLOOKUP($A113,Clients!$A:$A,Clients!$E:$E))</f>
        <v/>
      </c>
      <c r="C113">
        <f>IF($A113="","",DATEDIF(XLOOKUP($A113,Clients!$A:$A,Clients!$F:$F),VAL_DATE,"Y"))</f>
        <v/>
      </c>
      <c r="D113">
        <f>IF(OR($A113="",E113=""),"",E113-C113)</f>
        <v/>
      </c>
      <c r="E113">
        <f>IF($A113="","",XLOOKUP($A113,RetirementPlan!$B:$B,RetirementPlan!$C:$C,""))</f>
        <v/>
      </c>
      <c r="F113" s="9">
        <f>IF(OR($A113="",D113=""),"",FV(IF(IFERROR(XLOOKUP($A113,RetirementPlan!$B:$B,RetirementPlan!$K:$K,""),"")="",GROWTH,IFERROR(XLOOKUP($A113,RetirementPlan!$B:$B,RetirementPlan!$K:$K,""),"")),D113,-N(XLOOKUP($A113,RetirementPlan!$B:$B,RetirementPlan!$I:$I,0)),-SUMIFS(Assets!$J:$J,Assets!$B:$B,$A113,Assets!$R:$R,"Yes"),0))</f>
        <v/>
      </c>
      <c r="G113" s="9">
        <f>IF(OR($A113="",I113=""),"",MAX(0,(I113-J113)/IF(IFERROR(XLOOKUP($A113,RetirementPlan!$B:$B,RetirementPlan!$M:$M,""),"")="",SWR,IFERROR(XLOOKUP($A113,RetirementPlan!$B:$B,RetirementPlan!$M:$M,""),""))))</f>
        <v/>
      </c>
      <c r="H113" s="9">
        <f>IF(OR($A113="",F113="",G113=""),"",F113-G113)</f>
        <v/>
      </c>
      <c r="I113" s="9">
        <f>IF($A113="","",XLOOKUP($A113,RetirementPlan!$B:$B,RetirementPlan!$E:$E,""))</f>
        <v/>
      </c>
      <c r="J113" s="9">
        <f>IF($A113="","",N(XLOOKUP($A113,RetirementPlan!$B:$B,RetirementPlan!$G:$G,0))+N(XLOOKUP($A113,RetirementPlan!$B:$B,RetirementPlan!$H:$H,0)))</f>
        <v/>
      </c>
      <c r="K113">
        <f>IF($A113="","",IF(NOT(ISBLANK(XLOOKUP($A113,RetirementPlan!$B:$B,RetirementPlan!$N:$N,""))),XLOOKUP($A113,RetirementPlan!$B:$B,RetirementPlan!$N:$N,""),LET(cid,$A113,c,FILTER(LocationPlan!$D:$D,LocationPlan!$C:$C=cid),p,FILTER(LocationPlan!$E:$E,LocationPlan!$C:$C=cid),IFERROR(INDEX(c,MATCH(MAX(p),p,0)),""))))</f>
        <v/>
      </c>
    </row>
    <row r="114">
      <c r="B114">
        <f>IF($A114="","",XLOOKUP($A114,Clients!$A:$A,Clients!$D:$D)&amp;" "&amp;XLOOKUP($A114,Clients!$A:$A,Clients!$E:$E))</f>
        <v/>
      </c>
      <c r="C114">
        <f>IF($A114="","",DATEDIF(XLOOKUP($A114,Clients!$A:$A,Clients!$F:$F),VAL_DATE,"Y"))</f>
        <v/>
      </c>
      <c r="D114">
        <f>IF(OR($A114="",E114=""),"",E114-C114)</f>
        <v/>
      </c>
      <c r="E114">
        <f>IF($A114="","",XLOOKUP($A114,RetirementPlan!$B:$B,RetirementPlan!$C:$C,""))</f>
        <v/>
      </c>
      <c r="F114" s="9">
        <f>IF(OR($A114="",D114=""),"",FV(IF(IFERROR(XLOOKUP($A114,RetirementPlan!$B:$B,RetirementPlan!$K:$K,""),"")="",GROWTH,IFERROR(XLOOKUP($A114,RetirementPlan!$B:$B,RetirementPlan!$K:$K,""),"")),D114,-N(XLOOKUP($A114,RetirementPlan!$B:$B,RetirementPlan!$I:$I,0)),-SUMIFS(Assets!$J:$J,Assets!$B:$B,$A114,Assets!$R:$R,"Yes"),0))</f>
        <v/>
      </c>
      <c r="G114" s="9">
        <f>IF(OR($A114="",I114=""),"",MAX(0,(I114-J114)/IF(IFERROR(XLOOKUP($A114,RetirementPlan!$B:$B,RetirementPlan!$M:$M,""),"")="",SWR,IFERROR(XLOOKUP($A114,RetirementPlan!$B:$B,RetirementPlan!$M:$M,""),""))))</f>
        <v/>
      </c>
      <c r="H114" s="9">
        <f>IF(OR($A114="",F114="",G114=""),"",F114-G114)</f>
        <v/>
      </c>
      <c r="I114" s="9">
        <f>IF($A114="","",XLOOKUP($A114,RetirementPlan!$B:$B,RetirementPlan!$E:$E,""))</f>
        <v/>
      </c>
      <c r="J114" s="9">
        <f>IF($A114="","",N(XLOOKUP($A114,RetirementPlan!$B:$B,RetirementPlan!$G:$G,0))+N(XLOOKUP($A114,RetirementPlan!$B:$B,RetirementPlan!$H:$H,0)))</f>
        <v/>
      </c>
      <c r="K114">
        <f>IF($A114="","",IF(NOT(ISBLANK(XLOOKUP($A114,RetirementPlan!$B:$B,RetirementPlan!$N:$N,""))),XLOOKUP($A114,RetirementPlan!$B:$B,RetirementPlan!$N:$N,""),LET(cid,$A114,c,FILTER(LocationPlan!$D:$D,LocationPlan!$C:$C=cid),p,FILTER(LocationPlan!$E:$E,LocationPlan!$C:$C=cid),IFERROR(INDEX(c,MATCH(MAX(p),p,0)),""))))</f>
        <v/>
      </c>
    </row>
    <row r="115">
      <c r="B115">
        <f>IF($A115="","",XLOOKUP($A115,Clients!$A:$A,Clients!$D:$D)&amp;" "&amp;XLOOKUP($A115,Clients!$A:$A,Clients!$E:$E))</f>
        <v/>
      </c>
      <c r="C115">
        <f>IF($A115="","",DATEDIF(XLOOKUP($A115,Clients!$A:$A,Clients!$F:$F),VAL_DATE,"Y"))</f>
        <v/>
      </c>
      <c r="D115">
        <f>IF(OR($A115="",E115=""),"",E115-C115)</f>
        <v/>
      </c>
      <c r="E115">
        <f>IF($A115="","",XLOOKUP($A115,RetirementPlan!$B:$B,RetirementPlan!$C:$C,""))</f>
        <v/>
      </c>
      <c r="F115" s="9">
        <f>IF(OR($A115="",D115=""),"",FV(IF(IFERROR(XLOOKUP($A115,RetirementPlan!$B:$B,RetirementPlan!$K:$K,""),"")="",GROWTH,IFERROR(XLOOKUP($A115,RetirementPlan!$B:$B,RetirementPlan!$K:$K,""),"")),D115,-N(XLOOKUP($A115,RetirementPlan!$B:$B,RetirementPlan!$I:$I,0)),-SUMIFS(Assets!$J:$J,Assets!$B:$B,$A115,Assets!$R:$R,"Yes"),0))</f>
        <v/>
      </c>
      <c r="G115" s="9">
        <f>IF(OR($A115="",I115=""),"",MAX(0,(I115-J115)/IF(IFERROR(XLOOKUP($A115,RetirementPlan!$B:$B,RetirementPlan!$M:$M,""),"")="",SWR,IFERROR(XLOOKUP($A115,RetirementPlan!$B:$B,RetirementPlan!$M:$M,""),""))))</f>
        <v/>
      </c>
      <c r="H115" s="9">
        <f>IF(OR($A115="",F115="",G115=""),"",F115-G115)</f>
        <v/>
      </c>
      <c r="I115" s="9">
        <f>IF($A115="","",XLOOKUP($A115,RetirementPlan!$B:$B,RetirementPlan!$E:$E,""))</f>
        <v/>
      </c>
      <c r="J115" s="9">
        <f>IF($A115="","",N(XLOOKUP($A115,RetirementPlan!$B:$B,RetirementPlan!$G:$G,0))+N(XLOOKUP($A115,RetirementPlan!$B:$B,RetirementPlan!$H:$H,0)))</f>
        <v/>
      </c>
      <c r="K115">
        <f>IF($A115="","",IF(NOT(ISBLANK(XLOOKUP($A115,RetirementPlan!$B:$B,RetirementPlan!$N:$N,""))),XLOOKUP($A115,RetirementPlan!$B:$B,RetirementPlan!$N:$N,""),LET(cid,$A115,c,FILTER(LocationPlan!$D:$D,LocationPlan!$C:$C=cid),p,FILTER(LocationPlan!$E:$E,LocationPlan!$C:$C=cid),IFERROR(INDEX(c,MATCH(MAX(p),p,0)),""))))</f>
        <v/>
      </c>
    </row>
    <row r="116">
      <c r="B116">
        <f>IF($A116="","",XLOOKUP($A116,Clients!$A:$A,Clients!$D:$D)&amp;" "&amp;XLOOKUP($A116,Clients!$A:$A,Clients!$E:$E))</f>
        <v/>
      </c>
      <c r="C116">
        <f>IF($A116="","",DATEDIF(XLOOKUP($A116,Clients!$A:$A,Clients!$F:$F),VAL_DATE,"Y"))</f>
        <v/>
      </c>
      <c r="D116">
        <f>IF(OR($A116="",E116=""),"",E116-C116)</f>
        <v/>
      </c>
      <c r="E116">
        <f>IF($A116="","",XLOOKUP($A116,RetirementPlan!$B:$B,RetirementPlan!$C:$C,""))</f>
        <v/>
      </c>
      <c r="F116" s="9">
        <f>IF(OR($A116="",D116=""),"",FV(IF(IFERROR(XLOOKUP($A116,RetirementPlan!$B:$B,RetirementPlan!$K:$K,""),"")="",GROWTH,IFERROR(XLOOKUP($A116,RetirementPlan!$B:$B,RetirementPlan!$K:$K,""),"")),D116,-N(XLOOKUP($A116,RetirementPlan!$B:$B,RetirementPlan!$I:$I,0)),-SUMIFS(Assets!$J:$J,Assets!$B:$B,$A116,Assets!$R:$R,"Yes"),0))</f>
        <v/>
      </c>
      <c r="G116" s="9">
        <f>IF(OR($A116="",I116=""),"",MAX(0,(I116-J116)/IF(IFERROR(XLOOKUP($A116,RetirementPlan!$B:$B,RetirementPlan!$M:$M,""),"")="",SWR,IFERROR(XLOOKUP($A116,RetirementPlan!$B:$B,RetirementPlan!$M:$M,""),""))))</f>
        <v/>
      </c>
      <c r="H116" s="9">
        <f>IF(OR($A116="",F116="",G116=""),"",F116-G116)</f>
        <v/>
      </c>
      <c r="I116" s="9">
        <f>IF($A116="","",XLOOKUP($A116,RetirementPlan!$B:$B,RetirementPlan!$E:$E,""))</f>
        <v/>
      </c>
      <c r="J116" s="9">
        <f>IF($A116="","",N(XLOOKUP($A116,RetirementPlan!$B:$B,RetirementPlan!$G:$G,0))+N(XLOOKUP($A116,RetirementPlan!$B:$B,RetirementPlan!$H:$H,0)))</f>
        <v/>
      </c>
      <c r="K116">
        <f>IF($A116="","",IF(NOT(ISBLANK(XLOOKUP($A116,RetirementPlan!$B:$B,RetirementPlan!$N:$N,""))),XLOOKUP($A116,RetirementPlan!$B:$B,RetirementPlan!$N:$N,""),LET(cid,$A116,c,FILTER(LocationPlan!$D:$D,LocationPlan!$C:$C=cid),p,FILTER(LocationPlan!$E:$E,LocationPlan!$C:$C=cid),IFERROR(INDEX(c,MATCH(MAX(p),p,0)),""))))</f>
        <v/>
      </c>
    </row>
    <row r="117">
      <c r="B117">
        <f>IF($A117="","",XLOOKUP($A117,Clients!$A:$A,Clients!$D:$D)&amp;" "&amp;XLOOKUP($A117,Clients!$A:$A,Clients!$E:$E))</f>
        <v/>
      </c>
      <c r="C117">
        <f>IF($A117="","",DATEDIF(XLOOKUP($A117,Clients!$A:$A,Clients!$F:$F),VAL_DATE,"Y"))</f>
        <v/>
      </c>
      <c r="D117">
        <f>IF(OR($A117="",E117=""),"",E117-C117)</f>
        <v/>
      </c>
      <c r="E117">
        <f>IF($A117="","",XLOOKUP($A117,RetirementPlan!$B:$B,RetirementPlan!$C:$C,""))</f>
        <v/>
      </c>
      <c r="F117" s="9">
        <f>IF(OR($A117="",D117=""),"",FV(IF(IFERROR(XLOOKUP($A117,RetirementPlan!$B:$B,RetirementPlan!$K:$K,""),"")="",GROWTH,IFERROR(XLOOKUP($A117,RetirementPlan!$B:$B,RetirementPlan!$K:$K,""),"")),D117,-N(XLOOKUP($A117,RetirementPlan!$B:$B,RetirementPlan!$I:$I,0)),-SUMIFS(Assets!$J:$J,Assets!$B:$B,$A117,Assets!$R:$R,"Yes"),0))</f>
        <v/>
      </c>
      <c r="G117" s="9">
        <f>IF(OR($A117="",I117=""),"",MAX(0,(I117-J117)/IF(IFERROR(XLOOKUP($A117,RetirementPlan!$B:$B,RetirementPlan!$M:$M,""),"")="",SWR,IFERROR(XLOOKUP($A117,RetirementPlan!$B:$B,RetirementPlan!$M:$M,""),""))))</f>
        <v/>
      </c>
      <c r="H117" s="9">
        <f>IF(OR($A117="",F117="",G117=""),"",F117-G117)</f>
        <v/>
      </c>
      <c r="I117" s="9">
        <f>IF($A117="","",XLOOKUP($A117,RetirementPlan!$B:$B,RetirementPlan!$E:$E,""))</f>
        <v/>
      </c>
      <c r="J117" s="9">
        <f>IF($A117="","",N(XLOOKUP($A117,RetirementPlan!$B:$B,RetirementPlan!$G:$G,0))+N(XLOOKUP($A117,RetirementPlan!$B:$B,RetirementPlan!$H:$H,0)))</f>
        <v/>
      </c>
      <c r="K117">
        <f>IF($A117="","",IF(NOT(ISBLANK(XLOOKUP($A117,RetirementPlan!$B:$B,RetirementPlan!$N:$N,""))),XLOOKUP($A117,RetirementPlan!$B:$B,RetirementPlan!$N:$N,""),LET(cid,$A117,c,FILTER(LocationPlan!$D:$D,LocationPlan!$C:$C=cid),p,FILTER(LocationPlan!$E:$E,LocationPlan!$C:$C=cid),IFERROR(INDEX(c,MATCH(MAX(p),p,0)),""))))</f>
        <v/>
      </c>
    </row>
    <row r="118">
      <c r="B118">
        <f>IF($A118="","",XLOOKUP($A118,Clients!$A:$A,Clients!$D:$D)&amp;" "&amp;XLOOKUP($A118,Clients!$A:$A,Clients!$E:$E))</f>
        <v/>
      </c>
      <c r="C118">
        <f>IF($A118="","",DATEDIF(XLOOKUP($A118,Clients!$A:$A,Clients!$F:$F),VAL_DATE,"Y"))</f>
        <v/>
      </c>
      <c r="D118">
        <f>IF(OR($A118="",E118=""),"",E118-C118)</f>
        <v/>
      </c>
      <c r="E118">
        <f>IF($A118="","",XLOOKUP($A118,RetirementPlan!$B:$B,RetirementPlan!$C:$C,""))</f>
        <v/>
      </c>
      <c r="F118" s="9">
        <f>IF(OR($A118="",D118=""),"",FV(IF(IFERROR(XLOOKUP($A118,RetirementPlan!$B:$B,RetirementPlan!$K:$K,""),"")="",GROWTH,IFERROR(XLOOKUP($A118,RetirementPlan!$B:$B,RetirementPlan!$K:$K,""),"")),D118,-N(XLOOKUP($A118,RetirementPlan!$B:$B,RetirementPlan!$I:$I,0)),-SUMIFS(Assets!$J:$J,Assets!$B:$B,$A118,Assets!$R:$R,"Yes"),0))</f>
        <v/>
      </c>
      <c r="G118" s="9">
        <f>IF(OR($A118="",I118=""),"",MAX(0,(I118-J118)/IF(IFERROR(XLOOKUP($A118,RetirementPlan!$B:$B,RetirementPlan!$M:$M,""),"")="",SWR,IFERROR(XLOOKUP($A118,RetirementPlan!$B:$B,RetirementPlan!$M:$M,""),""))))</f>
        <v/>
      </c>
      <c r="H118" s="9">
        <f>IF(OR($A118="",F118="",G118=""),"",F118-G118)</f>
        <v/>
      </c>
      <c r="I118" s="9">
        <f>IF($A118="","",XLOOKUP($A118,RetirementPlan!$B:$B,RetirementPlan!$E:$E,""))</f>
        <v/>
      </c>
      <c r="J118" s="9">
        <f>IF($A118="","",N(XLOOKUP($A118,RetirementPlan!$B:$B,RetirementPlan!$G:$G,0))+N(XLOOKUP($A118,RetirementPlan!$B:$B,RetirementPlan!$H:$H,0)))</f>
        <v/>
      </c>
      <c r="K118">
        <f>IF($A118="","",IF(NOT(ISBLANK(XLOOKUP($A118,RetirementPlan!$B:$B,RetirementPlan!$N:$N,""))),XLOOKUP($A118,RetirementPlan!$B:$B,RetirementPlan!$N:$N,""),LET(cid,$A118,c,FILTER(LocationPlan!$D:$D,LocationPlan!$C:$C=cid),p,FILTER(LocationPlan!$E:$E,LocationPlan!$C:$C=cid),IFERROR(INDEX(c,MATCH(MAX(p),p,0)),""))))</f>
        <v/>
      </c>
    </row>
    <row r="119">
      <c r="B119">
        <f>IF($A119="","",XLOOKUP($A119,Clients!$A:$A,Clients!$D:$D)&amp;" "&amp;XLOOKUP($A119,Clients!$A:$A,Clients!$E:$E))</f>
        <v/>
      </c>
      <c r="C119">
        <f>IF($A119="","",DATEDIF(XLOOKUP($A119,Clients!$A:$A,Clients!$F:$F),VAL_DATE,"Y"))</f>
        <v/>
      </c>
      <c r="D119">
        <f>IF(OR($A119="",E119=""),"",E119-C119)</f>
        <v/>
      </c>
      <c r="E119">
        <f>IF($A119="","",XLOOKUP($A119,RetirementPlan!$B:$B,RetirementPlan!$C:$C,""))</f>
        <v/>
      </c>
      <c r="F119" s="9">
        <f>IF(OR($A119="",D119=""),"",FV(IF(IFERROR(XLOOKUP($A119,RetirementPlan!$B:$B,RetirementPlan!$K:$K,""),"")="",GROWTH,IFERROR(XLOOKUP($A119,RetirementPlan!$B:$B,RetirementPlan!$K:$K,""),"")),D119,-N(XLOOKUP($A119,RetirementPlan!$B:$B,RetirementPlan!$I:$I,0)),-SUMIFS(Assets!$J:$J,Assets!$B:$B,$A119,Assets!$R:$R,"Yes"),0))</f>
        <v/>
      </c>
      <c r="G119" s="9">
        <f>IF(OR($A119="",I119=""),"",MAX(0,(I119-J119)/IF(IFERROR(XLOOKUP($A119,RetirementPlan!$B:$B,RetirementPlan!$M:$M,""),"")="",SWR,IFERROR(XLOOKUP($A119,RetirementPlan!$B:$B,RetirementPlan!$M:$M,""),""))))</f>
        <v/>
      </c>
      <c r="H119" s="9">
        <f>IF(OR($A119="",F119="",G119=""),"",F119-G119)</f>
        <v/>
      </c>
      <c r="I119" s="9">
        <f>IF($A119="","",XLOOKUP($A119,RetirementPlan!$B:$B,RetirementPlan!$E:$E,""))</f>
        <v/>
      </c>
      <c r="J119" s="9">
        <f>IF($A119="","",N(XLOOKUP($A119,RetirementPlan!$B:$B,RetirementPlan!$G:$G,0))+N(XLOOKUP($A119,RetirementPlan!$B:$B,RetirementPlan!$H:$H,0)))</f>
        <v/>
      </c>
      <c r="K119">
        <f>IF($A119="","",IF(NOT(ISBLANK(XLOOKUP($A119,RetirementPlan!$B:$B,RetirementPlan!$N:$N,""))),XLOOKUP($A119,RetirementPlan!$B:$B,RetirementPlan!$N:$N,""),LET(cid,$A119,c,FILTER(LocationPlan!$D:$D,LocationPlan!$C:$C=cid),p,FILTER(LocationPlan!$E:$E,LocationPlan!$C:$C=cid),IFERROR(INDEX(c,MATCH(MAX(p),p,0)),""))))</f>
        <v/>
      </c>
    </row>
    <row r="120">
      <c r="B120">
        <f>IF($A120="","",XLOOKUP($A120,Clients!$A:$A,Clients!$D:$D)&amp;" "&amp;XLOOKUP($A120,Clients!$A:$A,Clients!$E:$E))</f>
        <v/>
      </c>
      <c r="C120">
        <f>IF($A120="","",DATEDIF(XLOOKUP($A120,Clients!$A:$A,Clients!$F:$F),VAL_DATE,"Y"))</f>
        <v/>
      </c>
      <c r="D120">
        <f>IF(OR($A120="",E120=""),"",E120-C120)</f>
        <v/>
      </c>
      <c r="E120">
        <f>IF($A120="","",XLOOKUP($A120,RetirementPlan!$B:$B,RetirementPlan!$C:$C,""))</f>
        <v/>
      </c>
      <c r="F120" s="9">
        <f>IF(OR($A120="",D120=""),"",FV(IF(IFERROR(XLOOKUP($A120,RetirementPlan!$B:$B,RetirementPlan!$K:$K,""),"")="",GROWTH,IFERROR(XLOOKUP($A120,RetirementPlan!$B:$B,RetirementPlan!$K:$K,""),"")),D120,-N(XLOOKUP($A120,RetirementPlan!$B:$B,RetirementPlan!$I:$I,0)),-SUMIFS(Assets!$J:$J,Assets!$B:$B,$A120,Assets!$R:$R,"Yes"),0))</f>
        <v/>
      </c>
      <c r="G120" s="9">
        <f>IF(OR($A120="",I120=""),"",MAX(0,(I120-J120)/IF(IFERROR(XLOOKUP($A120,RetirementPlan!$B:$B,RetirementPlan!$M:$M,""),"")="",SWR,IFERROR(XLOOKUP($A120,RetirementPlan!$B:$B,RetirementPlan!$M:$M,""),""))))</f>
        <v/>
      </c>
      <c r="H120" s="9">
        <f>IF(OR($A120="",F120="",G120=""),"",F120-G120)</f>
        <v/>
      </c>
      <c r="I120" s="9">
        <f>IF($A120="","",XLOOKUP($A120,RetirementPlan!$B:$B,RetirementPlan!$E:$E,""))</f>
        <v/>
      </c>
      <c r="J120" s="9">
        <f>IF($A120="","",N(XLOOKUP($A120,RetirementPlan!$B:$B,RetirementPlan!$G:$G,0))+N(XLOOKUP($A120,RetirementPlan!$B:$B,RetirementPlan!$H:$H,0)))</f>
        <v/>
      </c>
      <c r="K120">
        <f>IF($A120="","",IF(NOT(ISBLANK(XLOOKUP($A120,RetirementPlan!$B:$B,RetirementPlan!$N:$N,""))),XLOOKUP($A120,RetirementPlan!$B:$B,RetirementPlan!$N:$N,""),LET(cid,$A120,c,FILTER(LocationPlan!$D:$D,LocationPlan!$C:$C=cid),p,FILTER(LocationPlan!$E:$E,LocationPlan!$C:$C=cid),IFERROR(INDEX(c,MATCH(MAX(p),p,0)),""))))</f>
        <v/>
      </c>
    </row>
    <row r="121">
      <c r="B121">
        <f>IF($A121="","",XLOOKUP($A121,Clients!$A:$A,Clients!$D:$D)&amp;" "&amp;XLOOKUP($A121,Clients!$A:$A,Clients!$E:$E))</f>
        <v/>
      </c>
      <c r="C121">
        <f>IF($A121="","",DATEDIF(XLOOKUP($A121,Clients!$A:$A,Clients!$F:$F),VAL_DATE,"Y"))</f>
        <v/>
      </c>
      <c r="D121">
        <f>IF(OR($A121="",E121=""),"",E121-C121)</f>
        <v/>
      </c>
      <c r="E121">
        <f>IF($A121="","",XLOOKUP($A121,RetirementPlan!$B:$B,RetirementPlan!$C:$C,""))</f>
        <v/>
      </c>
      <c r="F121" s="9">
        <f>IF(OR($A121="",D121=""),"",FV(IF(IFERROR(XLOOKUP($A121,RetirementPlan!$B:$B,RetirementPlan!$K:$K,""),"")="",GROWTH,IFERROR(XLOOKUP($A121,RetirementPlan!$B:$B,RetirementPlan!$K:$K,""),"")),D121,-N(XLOOKUP($A121,RetirementPlan!$B:$B,RetirementPlan!$I:$I,0)),-SUMIFS(Assets!$J:$J,Assets!$B:$B,$A121,Assets!$R:$R,"Yes"),0))</f>
        <v/>
      </c>
      <c r="G121" s="9">
        <f>IF(OR($A121="",I121=""),"",MAX(0,(I121-J121)/IF(IFERROR(XLOOKUP($A121,RetirementPlan!$B:$B,RetirementPlan!$M:$M,""),"")="",SWR,IFERROR(XLOOKUP($A121,RetirementPlan!$B:$B,RetirementPlan!$M:$M,""),""))))</f>
        <v/>
      </c>
      <c r="H121" s="9">
        <f>IF(OR($A121="",F121="",G121=""),"",F121-G121)</f>
        <v/>
      </c>
      <c r="I121" s="9">
        <f>IF($A121="","",XLOOKUP($A121,RetirementPlan!$B:$B,RetirementPlan!$E:$E,""))</f>
        <v/>
      </c>
      <c r="J121" s="9">
        <f>IF($A121="","",N(XLOOKUP($A121,RetirementPlan!$B:$B,RetirementPlan!$G:$G,0))+N(XLOOKUP($A121,RetirementPlan!$B:$B,RetirementPlan!$H:$H,0)))</f>
        <v/>
      </c>
      <c r="K121">
        <f>IF($A121="","",IF(NOT(ISBLANK(XLOOKUP($A121,RetirementPlan!$B:$B,RetirementPlan!$N:$N,""))),XLOOKUP($A121,RetirementPlan!$B:$B,RetirementPlan!$N:$N,""),LET(cid,$A121,c,FILTER(LocationPlan!$D:$D,LocationPlan!$C:$C=cid),p,FILTER(LocationPlan!$E:$E,LocationPlan!$C:$C=cid),IFERROR(INDEX(c,MATCH(MAX(p),p,0)),""))))</f>
        <v/>
      </c>
    </row>
    <row r="122">
      <c r="B122">
        <f>IF($A122="","",XLOOKUP($A122,Clients!$A:$A,Clients!$D:$D)&amp;" "&amp;XLOOKUP($A122,Clients!$A:$A,Clients!$E:$E))</f>
        <v/>
      </c>
      <c r="C122">
        <f>IF($A122="","",DATEDIF(XLOOKUP($A122,Clients!$A:$A,Clients!$F:$F),VAL_DATE,"Y"))</f>
        <v/>
      </c>
      <c r="D122">
        <f>IF(OR($A122="",E122=""),"",E122-C122)</f>
        <v/>
      </c>
      <c r="E122">
        <f>IF($A122="","",XLOOKUP($A122,RetirementPlan!$B:$B,RetirementPlan!$C:$C,""))</f>
        <v/>
      </c>
      <c r="F122" s="9">
        <f>IF(OR($A122="",D122=""),"",FV(IF(IFERROR(XLOOKUP($A122,RetirementPlan!$B:$B,RetirementPlan!$K:$K,""),"")="",GROWTH,IFERROR(XLOOKUP($A122,RetirementPlan!$B:$B,RetirementPlan!$K:$K,""),"")),D122,-N(XLOOKUP($A122,RetirementPlan!$B:$B,RetirementPlan!$I:$I,0)),-SUMIFS(Assets!$J:$J,Assets!$B:$B,$A122,Assets!$R:$R,"Yes"),0))</f>
        <v/>
      </c>
      <c r="G122" s="9">
        <f>IF(OR($A122="",I122=""),"",MAX(0,(I122-J122)/IF(IFERROR(XLOOKUP($A122,RetirementPlan!$B:$B,RetirementPlan!$M:$M,""),"")="",SWR,IFERROR(XLOOKUP($A122,RetirementPlan!$B:$B,RetirementPlan!$M:$M,""),""))))</f>
        <v/>
      </c>
      <c r="H122" s="9">
        <f>IF(OR($A122="",F122="",G122=""),"",F122-G122)</f>
        <v/>
      </c>
      <c r="I122" s="9">
        <f>IF($A122="","",XLOOKUP($A122,RetirementPlan!$B:$B,RetirementPlan!$E:$E,""))</f>
        <v/>
      </c>
      <c r="J122" s="9">
        <f>IF($A122="","",N(XLOOKUP($A122,RetirementPlan!$B:$B,RetirementPlan!$G:$G,0))+N(XLOOKUP($A122,RetirementPlan!$B:$B,RetirementPlan!$H:$H,0)))</f>
        <v/>
      </c>
      <c r="K122">
        <f>IF($A122="","",IF(NOT(ISBLANK(XLOOKUP($A122,RetirementPlan!$B:$B,RetirementPlan!$N:$N,""))),XLOOKUP($A122,RetirementPlan!$B:$B,RetirementPlan!$N:$N,""),LET(cid,$A122,c,FILTER(LocationPlan!$D:$D,LocationPlan!$C:$C=cid),p,FILTER(LocationPlan!$E:$E,LocationPlan!$C:$C=cid),IFERROR(INDEX(c,MATCH(MAX(p),p,0)),""))))</f>
        <v/>
      </c>
    </row>
    <row r="123">
      <c r="B123">
        <f>IF($A123="","",XLOOKUP($A123,Clients!$A:$A,Clients!$D:$D)&amp;" "&amp;XLOOKUP($A123,Clients!$A:$A,Clients!$E:$E))</f>
        <v/>
      </c>
      <c r="C123">
        <f>IF($A123="","",DATEDIF(XLOOKUP($A123,Clients!$A:$A,Clients!$F:$F),VAL_DATE,"Y"))</f>
        <v/>
      </c>
      <c r="D123">
        <f>IF(OR($A123="",E123=""),"",E123-C123)</f>
        <v/>
      </c>
      <c r="E123">
        <f>IF($A123="","",XLOOKUP($A123,RetirementPlan!$B:$B,RetirementPlan!$C:$C,""))</f>
        <v/>
      </c>
      <c r="F123" s="9">
        <f>IF(OR($A123="",D123=""),"",FV(IF(IFERROR(XLOOKUP($A123,RetirementPlan!$B:$B,RetirementPlan!$K:$K,""),"")="",GROWTH,IFERROR(XLOOKUP($A123,RetirementPlan!$B:$B,RetirementPlan!$K:$K,""),"")),D123,-N(XLOOKUP($A123,RetirementPlan!$B:$B,RetirementPlan!$I:$I,0)),-SUMIFS(Assets!$J:$J,Assets!$B:$B,$A123,Assets!$R:$R,"Yes"),0))</f>
        <v/>
      </c>
      <c r="G123" s="9">
        <f>IF(OR($A123="",I123=""),"",MAX(0,(I123-J123)/IF(IFERROR(XLOOKUP($A123,RetirementPlan!$B:$B,RetirementPlan!$M:$M,""),"")="",SWR,IFERROR(XLOOKUP($A123,RetirementPlan!$B:$B,RetirementPlan!$M:$M,""),""))))</f>
        <v/>
      </c>
      <c r="H123" s="9">
        <f>IF(OR($A123="",F123="",G123=""),"",F123-G123)</f>
        <v/>
      </c>
      <c r="I123" s="9">
        <f>IF($A123="","",XLOOKUP($A123,RetirementPlan!$B:$B,RetirementPlan!$E:$E,""))</f>
        <v/>
      </c>
      <c r="J123" s="9">
        <f>IF($A123="","",N(XLOOKUP($A123,RetirementPlan!$B:$B,RetirementPlan!$G:$G,0))+N(XLOOKUP($A123,RetirementPlan!$B:$B,RetirementPlan!$H:$H,0)))</f>
        <v/>
      </c>
      <c r="K123">
        <f>IF($A123="","",IF(NOT(ISBLANK(XLOOKUP($A123,RetirementPlan!$B:$B,RetirementPlan!$N:$N,""))),XLOOKUP($A123,RetirementPlan!$B:$B,RetirementPlan!$N:$N,""),LET(cid,$A123,c,FILTER(LocationPlan!$D:$D,LocationPlan!$C:$C=cid),p,FILTER(LocationPlan!$E:$E,LocationPlan!$C:$C=cid),IFERROR(INDEX(c,MATCH(MAX(p),p,0)),""))))</f>
        <v/>
      </c>
    </row>
    <row r="124">
      <c r="B124">
        <f>IF($A124="","",XLOOKUP($A124,Clients!$A:$A,Clients!$D:$D)&amp;" "&amp;XLOOKUP($A124,Clients!$A:$A,Clients!$E:$E))</f>
        <v/>
      </c>
      <c r="C124">
        <f>IF($A124="","",DATEDIF(XLOOKUP($A124,Clients!$A:$A,Clients!$F:$F),VAL_DATE,"Y"))</f>
        <v/>
      </c>
      <c r="D124">
        <f>IF(OR($A124="",E124=""),"",E124-C124)</f>
        <v/>
      </c>
      <c r="E124">
        <f>IF($A124="","",XLOOKUP($A124,RetirementPlan!$B:$B,RetirementPlan!$C:$C,""))</f>
        <v/>
      </c>
      <c r="F124" s="9">
        <f>IF(OR($A124="",D124=""),"",FV(IF(IFERROR(XLOOKUP($A124,RetirementPlan!$B:$B,RetirementPlan!$K:$K,""),"")="",GROWTH,IFERROR(XLOOKUP($A124,RetirementPlan!$B:$B,RetirementPlan!$K:$K,""),"")),D124,-N(XLOOKUP($A124,RetirementPlan!$B:$B,RetirementPlan!$I:$I,0)),-SUMIFS(Assets!$J:$J,Assets!$B:$B,$A124,Assets!$R:$R,"Yes"),0))</f>
        <v/>
      </c>
      <c r="G124" s="9">
        <f>IF(OR($A124="",I124=""),"",MAX(0,(I124-J124)/IF(IFERROR(XLOOKUP($A124,RetirementPlan!$B:$B,RetirementPlan!$M:$M,""),"")="",SWR,IFERROR(XLOOKUP($A124,RetirementPlan!$B:$B,RetirementPlan!$M:$M,""),""))))</f>
        <v/>
      </c>
      <c r="H124" s="9">
        <f>IF(OR($A124="",F124="",G124=""),"",F124-G124)</f>
        <v/>
      </c>
      <c r="I124" s="9">
        <f>IF($A124="","",XLOOKUP($A124,RetirementPlan!$B:$B,RetirementPlan!$E:$E,""))</f>
        <v/>
      </c>
      <c r="J124" s="9">
        <f>IF($A124="","",N(XLOOKUP($A124,RetirementPlan!$B:$B,RetirementPlan!$G:$G,0))+N(XLOOKUP($A124,RetirementPlan!$B:$B,RetirementPlan!$H:$H,0)))</f>
        <v/>
      </c>
      <c r="K124">
        <f>IF($A124="","",IF(NOT(ISBLANK(XLOOKUP($A124,RetirementPlan!$B:$B,RetirementPlan!$N:$N,""))),XLOOKUP($A124,RetirementPlan!$B:$B,RetirementPlan!$N:$N,""),LET(cid,$A124,c,FILTER(LocationPlan!$D:$D,LocationPlan!$C:$C=cid),p,FILTER(LocationPlan!$E:$E,LocationPlan!$C:$C=cid),IFERROR(INDEX(c,MATCH(MAX(p),p,0)),""))))</f>
        <v/>
      </c>
    </row>
    <row r="125">
      <c r="B125">
        <f>IF($A125="","",XLOOKUP($A125,Clients!$A:$A,Clients!$D:$D)&amp;" "&amp;XLOOKUP($A125,Clients!$A:$A,Clients!$E:$E))</f>
        <v/>
      </c>
      <c r="C125">
        <f>IF($A125="","",DATEDIF(XLOOKUP($A125,Clients!$A:$A,Clients!$F:$F),VAL_DATE,"Y"))</f>
        <v/>
      </c>
      <c r="D125">
        <f>IF(OR($A125="",E125=""),"",E125-C125)</f>
        <v/>
      </c>
      <c r="E125">
        <f>IF($A125="","",XLOOKUP($A125,RetirementPlan!$B:$B,RetirementPlan!$C:$C,""))</f>
        <v/>
      </c>
      <c r="F125" s="9">
        <f>IF(OR($A125="",D125=""),"",FV(IF(IFERROR(XLOOKUP($A125,RetirementPlan!$B:$B,RetirementPlan!$K:$K,""),"")="",GROWTH,IFERROR(XLOOKUP($A125,RetirementPlan!$B:$B,RetirementPlan!$K:$K,""),"")),D125,-N(XLOOKUP($A125,RetirementPlan!$B:$B,RetirementPlan!$I:$I,0)),-SUMIFS(Assets!$J:$J,Assets!$B:$B,$A125,Assets!$R:$R,"Yes"),0))</f>
        <v/>
      </c>
      <c r="G125" s="9">
        <f>IF(OR($A125="",I125=""),"",MAX(0,(I125-J125)/IF(IFERROR(XLOOKUP($A125,RetirementPlan!$B:$B,RetirementPlan!$M:$M,""),"")="",SWR,IFERROR(XLOOKUP($A125,RetirementPlan!$B:$B,RetirementPlan!$M:$M,""),""))))</f>
        <v/>
      </c>
      <c r="H125" s="9">
        <f>IF(OR($A125="",F125="",G125=""),"",F125-G125)</f>
        <v/>
      </c>
      <c r="I125" s="9">
        <f>IF($A125="","",XLOOKUP($A125,RetirementPlan!$B:$B,RetirementPlan!$E:$E,""))</f>
        <v/>
      </c>
      <c r="J125" s="9">
        <f>IF($A125="","",N(XLOOKUP($A125,RetirementPlan!$B:$B,RetirementPlan!$G:$G,0))+N(XLOOKUP($A125,RetirementPlan!$B:$B,RetirementPlan!$H:$H,0)))</f>
        <v/>
      </c>
      <c r="K125">
        <f>IF($A125="","",IF(NOT(ISBLANK(XLOOKUP($A125,RetirementPlan!$B:$B,RetirementPlan!$N:$N,""))),XLOOKUP($A125,RetirementPlan!$B:$B,RetirementPlan!$N:$N,""),LET(cid,$A125,c,FILTER(LocationPlan!$D:$D,LocationPlan!$C:$C=cid),p,FILTER(LocationPlan!$E:$E,LocationPlan!$C:$C=cid),IFERROR(INDEX(c,MATCH(MAX(p),p,0)),""))))</f>
        <v/>
      </c>
    </row>
    <row r="126">
      <c r="B126">
        <f>IF($A126="","",XLOOKUP($A126,Clients!$A:$A,Clients!$D:$D)&amp;" "&amp;XLOOKUP($A126,Clients!$A:$A,Clients!$E:$E))</f>
        <v/>
      </c>
      <c r="C126">
        <f>IF($A126="","",DATEDIF(XLOOKUP($A126,Clients!$A:$A,Clients!$F:$F),VAL_DATE,"Y"))</f>
        <v/>
      </c>
      <c r="D126">
        <f>IF(OR($A126="",E126=""),"",E126-C126)</f>
        <v/>
      </c>
      <c r="E126">
        <f>IF($A126="","",XLOOKUP($A126,RetirementPlan!$B:$B,RetirementPlan!$C:$C,""))</f>
        <v/>
      </c>
      <c r="F126" s="9">
        <f>IF(OR($A126="",D126=""),"",FV(IF(IFERROR(XLOOKUP($A126,RetirementPlan!$B:$B,RetirementPlan!$K:$K,""),"")="",GROWTH,IFERROR(XLOOKUP($A126,RetirementPlan!$B:$B,RetirementPlan!$K:$K,""),"")),D126,-N(XLOOKUP($A126,RetirementPlan!$B:$B,RetirementPlan!$I:$I,0)),-SUMIFS(Assets!$J:$J,Assets!$B:$B,$A126,Assets!$R:$R,"Yes"),0))</f>
        <v/>
      </c>
      <c r="G126" s="9">
        <f>IF(OR($A126="",I126=""),"",MAX(0,(I126-J126)/IF(IFERROR(XLOOKUP($A126,RetirementPlan!$B:$B,RetirementPlan!$M:$M,""),"")="",SWR,IFERROR(XLOOKUP($A126,RetirementPlan!$B:$B,RetirementPlan!$M:$M,""),""))))</f>
        <v/>
      </c>
      <c r="H126" s="9">
        <f>IF(OR($A126="",F126="",G126=""),"",F126-G126)</f>
        <v/>
      </c>
      <c r="I126" s="9">
        <f>IF($A126="","",XLOOKUP($A126,RetirementPlan!$B:$B,RetirementPlan!$E:$E,""))</f>
        <v/>
      </c>
      <c r="J126" s="9">
        <f>IF($A126="","",N(XLOOKUP($A126,RetirementPlan!$B:$B,RetirementPlan!$G:$G,0))+N(XLOOKUP($A126,RetirementPlan!$B:$B,RetirementPlan!$H:$H,0)))</f>
        <v/>
      </c>
      <c r="K126">
        <f>IF($A126="","",IF(NOT(ISBLANK(XLOOKUP($A126,RetirementPlan!$B:$B,RetirementPlan!$N:$N,""))),XLOOKUP($A126,RetirementPlan!$B:$B,RetirementPlan!$N:$N,""),LET(cid,$A126,c,FILTER(LocationPlan!$D:$D,LocationPlan!$C:$C=cid),p,FILTER(LocationPlan!$E:$E,LocationPlan!$C:$C=cid),IFERROR(INDEX(c,MATCH(MAX(p),p,0)),""))))</f>
        <v/>
      </c>
    </row>
    <row r="127">
      <c r="B127">
        <f>IF($A127="","",XLOOKUP($A127,Clients!$A:$A,Clients!$D:$D)&amp;" "&amp;XLOOKUP($A127,Clients!$A:$A,Clients!$E:$E))</f>
        <v/>
      </c>
      <c r="C127">
        <f>IF($A127="","",DATEDIF(XLOOKUP($A127,Clients!$A:$A,Clients!$F:$F),VAL_DATE,"Y"))</f>
        <v/>
      </c>
      <c r="D127">
        <f>IF(OR($A127="",E127=""),"",E127-C127)</f>
        <v/>
      </c>
      <c r="E127">
        <f>IF($A127="","",XLOOKUP($A127,RetirementPlan!$B:$B,RetirementPlan!$C:$C,""))</f>
        <v/>
      </c>
      <c r="F127" s="9">
        <f>IF(OR($A127="",D127=""),"",FV(IF(IFERROR(XLOOKUP($A127,RetirementPlan!$B:$B,RetirementPlan!$K:$K,""),"")="",GROWTH,IFERROR(XLOOKUP($A127,RetirementPlan!$B:$B,RetirementPlan!$K:$K,""),"")),D127,-N(XLOOKUP($A127,RetirementPlan!$B:$B,RetirementPlan!$I:$I,0)),-SUMIFS(Assets!$J:$J,Assets!$B:$B,$A127,Assets!$R:$R,"Yes"),0))</f>
        <v/>
      </c>
      <c r="G127" s="9">
        <f>IF(OR($A127="",I127=""),"",MAX(0,(I127-J127)/IF(IFERROR(XLOOKUP($A127,RetirementPlan!$B:$B,RetirementPlan!$M:$M,""),"")="",SWR,IFERROR(XLOOKUP($A127,RetirementPlan!$B:$B,RetirementPlan!$M:$M,""),""))))</f>
        <v/>
      </c>
      <c r="H127" s="9">
        <f>IF(OR($A127="",F127="",G127=""),"",F127-G127)</f>
        <v/>
      </c>
      <c r="I127" s="9">
        <f>IF($A127="","",XLOOKUP($A127,RetirementPlan!$B:$B,RetirementPlan!$E:$E,""))</f>
        <v/>
      </c>
      <c r="J127" s="9">
        <f>IF($A127="","",N(XLOOKUP($A127,RetirementPlan!$B:$B,RetirementPlan!$G:$G,0))+N(XLOOKUP($A127,RetirementPlan!$B:$B,RetirementPlan!$H:$H,0)))</f>
        <v/>
      </c>
      <c r="K127">
        <f>IF($A127="","",IF(NOT(ISBLANK(XLOOKUP($A127,RetirementPlan!$B:$B,RetirementPlan!$N:$N,""))),XLOOKUP($A127,RetirementPlan!$B:$B,RetirementPlan!$N:$N,""),LET(cid,$A127,c,FILTER(LocationPlan!$D:$D,LocationPlan!$C:$C=cid),p,FILTER(LocationPlan!$E:$E,LocationPlan!$C:$C=cid),IFERROR(INDEX(c,MATCH(MAX(p),p,0)),""))))</f>
        <v/>
      </c>
    </row>
    <row r="128">
      <c r="B128">
        <f>IF($A128="","",XLOOKUP($A128,Clients!$A:$A,Clients!$D:$D)&amp;" "&amp;XLOOKUP($A128,Clients!$A:$A,Clients!$E:$E))</f>
        <v/>
      </c>
      <c r="C128">
        <f>IF($A128="","",DATEDIF(XLOOKUP($A128,Clients!$A:$A,Clients!$F:$F),VAL_DATE,"Y"))</f>
        <v/>
      </c>
      <c r="D128">
        <f>IF(OR($A128="",E128=""),"",E128-C128)</f>
        <v/>
      </c>
      <c r="E128">
        <f>IF($A128="","",XLOOKUP($A128,RetirementPlan!$B:$B,RetirementPlan!$C:$C,""))</f>
        <v/>
      </c>
      <c r="F128" s="9">
        <f>IF(OR($A128="",D128=""),"",FV(IF(IFERROR(XLOOKUP($A128,RetirementPlan!$B:$B,RetirementPlan!$K:$K,""),"")="",GROWTH,IFERROR(XLOOKUP($A128,RetirementPlan!$B:$B,RetirementPlan!$K:$K,""),"")),D128,-N(XLOOKUP($A128,RetirementPlan!$B:$B,RetirementPlan!$I:$I,0)),-SUMIFS(Assets!$J:$J,Assets!$B:$B,$A128,Assets!$R:$R,"Yes"),0))</f>
        <v/>
      </c>
      <c r="G128" s="9">
        <f>IF(OR($A128="",I128=""),"",MAX(0,(I128-J128)/IF(IFERROR(XLOOKUP($A128,RetirementPlan!$B:$B,RetirementPlan!$M:$M,""),"")="",SWR,IFERROR(XLOOKUP($A128,RetirementPlan!$B:$B,RetirementPlan!$M:$M,""),""))))</f>
        <v/>
      </c>
      <c r="H128" s="9">
        <f>IF(OR($A128="",F128="",G128=""),"",F128-G128)</f>
        <v/>
      </c>
      <c r="I128" s="9">
        <f>IF($A128="","",XLOOKUP($A128,RetirementPlan!$B:$B,RetirementPlan!$E:$E,""))</f>
        <v/>
      </c>
      <c r="J128" s="9">
        <f>IF($A128="","",N(XLOOKUP($A128,RetirementPlan!$B:$B,RetirementPlan!$G:$G,0))+N(XLOOKUP($A128,RetirementPlan!$B:$B,RetirementPlan!$H:$H,0)))</f>
        <v/>
      </c>
      <c r="K128">
        <f>IF($A128="","",IF(NOT(ISBLANK(XLOOKUP($A128,RetirementPlan!$B:$B,RetirementPlan!$N:$N,""))),XLOOKUP($A128,RetirementPlan!$B:$B,RetirementPlan!$N:$N,""),LET(cid,$A128,c,FILTER(LocationPlan!$D:$D,LocationPlan!$C:$C=cid),p,FILTER(LocationPlan!$E:$E,LocationPlan!$C:$C=cid),IFERROR(INDEX(c,MATCH(MAX(p),p,0)),""))))</f>
        <v/>
      </c>
    </row>
    <row r="129">
      <c r="B129">
        <f>IF($A129="","",XLOOKUP($A129,Clients!$A:$A,Clients!$D:$D)&amp;" "&amp;XLOOKUP($A129,Clients!$A:$A,Clients!$E:$E))</f>
        <v/>
      </c>
      <c r="C129">
        <f>IF($A129="","",DATEDIF(XLOOKUP($A129,Clients!$A:$A,Clients!$F:$F),VAL_DATE,"Y"))</f>
        <v/>
      </c>
      <c r="D129">
        <f>IF(OR($A129="",E129=""),"",E129-C129)</f>
        <v/>
      </c>
      <c r="E129">
        <f>IF($A129="","",XLOOKUP($A129,RetirementPlan!$B:$B,RetirementPlan!$C:$C,""))</f>
        <v/>
      </c>
      <c r="F129" s="9">
        <f>IF(OR($A129="",D129=""),"",FV(IF(IFERROR(XLOOKUP($A129,RetirementPlan!$B:$B,RetirementPlan!$K:$K,""),"")="",GROWTH,IFERROR(XLOOKUP($A129,RetirementPlan!$B:$B,RetirementPlan!$K:$K,""),"")),D129,-N(XLOOKUP($A129,RetirementPlan!$B:$B,RetirementPlan!$I:$I,0)),-SUMIFS(Assets!$J:$J,Assets!$B:$B,$A129,Assets!$R:$R,"Yes"),0))</f>
        <v/>
      </c>
      <c r="G129" s="9">
        <f>IF(OR($A129="",I129=""),"",MAX(0,(I129-J129)/IF(IFERROR(XLOOKUP($A129,RetirementPlan!$B:$B,RetirementPlan!$M:$M,""),"")="",SWR,IFERROR(XLOOKUP($A129,RetirementPlan!$B:$B,RetirementPlan!$M:$M,""),""))))</f>
        <v/>
      </c>
      <c r="H129" s="9">
        <f>IF(OR($A129="",F129="",G129=""),"",F129-G129)</f>
        <v/>
      </c>
      <c r="I129" s="9">
        <f>IF($A129="","",XLOOKUP($A129,RetirementPlan!$B:$B,RetirementPlan!$E:$E,""))</f>
        <v/>
      </c>
      <c r="J129" s="9">
        <f>IF($A129="","",N(XLOOKUP($A129,RetirementPlan!$B:$B,RetirementPlan!$G:$G,0))+N(XLOOKUP($A129,RetirementPlan!$B:$B,RetirementPlan!$H:$H,0)))</f>
        <v/>
      </c>
      <c r="K129">
        <f>IF($A129="","",IF(NOT(ISBLANK(XLOOKUP($A129,RetirementPlan!$B:$B,RetirementPlan!$N:$N,""))),XLOOKUP($A129,RetirementPlan!$B:$B,RetirementPlan!$N:$N,""),LET(cid,$A129,c,FILTER(LocationPlan!$D:$D,LocationPlan!$C:$C=cid),p,FILTER(LocationPlan!$E:$E,LocationPlan!$C:$C=cid),IFERROR(INDEX(c,MATCH(MAX(p),p,0)),""))))</f>
        <v/>
      </c>
    </row>
    <row r="130">
      <c r="B130">
        <f>IF($A130="","",XLOOKUP($A130,Clients!$A:$A,Clients!$D:$D)&amp;" "&amp;XLOOKUP($A130,Clients!$A:$A,Clients!$E:$E))</f>
        <v/>
      </c>
      <c r="C130">
        <f>IF($A130="","",DATEDIF(XLOOKUP($A130,Clients!$A:$A,Clients!$F:$F),VAL_DATE,"Y"))</f>
        <v/>
      </c>
      <c r="D130">
        <f>IF(OR($A130="",E130=""),"",E130-C130)</f>
        <v/>
      </c>
      <c r="E130">
        <f>IF($A130="","",XLOOKUP($A130,RetirementPlan!$B:$B,RetirementPlan!$C:$C,""))</f>
        <v/>
      </c>
      <c r="F130" s="9">
        <f>IF(OR($A130="",D130=""),"",FV(IF(IFERROR(XLOOKUP($A130,RetirementPlan!$B:$B,RetirementPlan!$K:$K,""),"")="",GROWTH,IFERROR(XLOOKUP($A130,RetirementPlan!$B:$B,RetirementPlan!$K:$K,""),"")),D130,-N(XLOOKUP($A130,RetirementPlan!$B:$B,RetirementPlan!$I:$I,0)),-SUMIFS(Assets!$J:$J,Assets!$B:$B,$A130,Assets!$R:$R,"Yes"),0))</f>
        <v/>
      </c>
      <c r="G130" s="9">
        <f>IF(OR($A130="",I130=""),"",MAX(0,(I130-J130)/IF(IFERROR(XLOOKUP($A130,RetirementPlan!$B:$B,RetirementPlan!$M:$M,""),"")="",SWR,IFERROR(XLOOKUP($A130,RetirementPlan!$B:$B,RetirementPlan!$M:$M,""),""))))</f>
        <v/>
      </c>
      <c r="H130" s="9">
        <f>IF(OR($A130="",F130="",G130=""),"",F130-G130)</f>
        <v/>
      </c>
      <c r="I130" s="9">
        <f>IF($A130="","",XLOOKUP($A130,RetirementPlan!$B:$B,RetirementPlan!$E:$E,""))</f>
        <v/>
      </c>
      <c r="J130" s="9">
        <f>IF($A130="","",N(XLOOKUP($A130,RetirementPlan!$B:$B,RetirementPlan!$G:$G,0))+N(XLOOKUP($A130,RetirementPlan!$B:$B,RetirementPlan!$H:$H,0)))</f>
        <v/>
      </c>
      <c r="K130">
        <f>IF($A130="","",IF(NOT(ISBLANK(XLOOKUP($A130,RetirementPlan!$B:$B,RetirementPlan!$N:$N,""))),XLOOKUP($A130,RetirementPlan!$B:$B,RetirementPlan!$N:$N,""),LET(cid,$A130,c,FILTER(LocationPlan!$D:$D,LocationPlan!$C:$C=cid),p,FILTER(LocationPlan!$E:$E,LocationPlan!$C:$C=cid),IFERROR(INDEX(c,MATCH(MAX(p),p,0)),""))))</f>
        <v/>
      </c>
    </row>
    <row r="131">
      <c r="B131">
        <f>IF($A131="","",XLOOKUP($A131,Clients!$A:$A,Clients!$D:$D)&amp;" "&amp;XLOOKUP($A131,Clients!$A:$A,Clients!$E:$E))</f>
        <v/>
      </c>
      <c r="C131">
        <f>IF($A131="","",DATEDIF(XLOOKUP($A131,Clients!$A:$A,Clients!$F:$F),VAL_DATE,"Y"))</f>
        <v/>
      </c>
      <c r="D131">
        <f>IF(OR($A131="",E131=""),"",E131-C131)</f>
        <v/>
      </c>
      <c r="E131">
        <f>IF($A131="","",XLOOKUP($A131,RetirementPlan!$B:$B,RetirementPlan!$C:$C,""))</f>
        <v/>
      </c>
      <c r="F131" s="9">
        <f>IF(OR($A131="",D131=""),"",FV(IF(IFERROR(XLOOKUP($A131,RetirementPlan!$B:$B,RetirementPlan!$K:$K,""),"")="",GROWTH,IFERROR(XLOOKUP($A131,RetirementPlan!$B:$B,RetirementPlan!$K:$K,""),"")),D131,-N(XLOOKUP($A131,RetirementPlan!$B:$B,RetirementPlan!$I:$I,0)),-SUMIFS(Assets!$J:$J,Assets!$B:$B,$A131,Assets!$R:$R,"Yes"),0))</f>
        <v/>
      </c>
      <c r="G131" s="9">
        <f>IF(OR($A131="",I131=""),"",MAX(0,(I131-J131)/IF(IFERROR(XLOOKUP($A131,RetirementPlan!$B:$B,RetirementPlan!$M:$M,""),"")="",SWR,IFERROR(XLOOKUP($A131,RetirementPlan!$B:$B,RetirementPlan!$M:$M,""),""))))</f>
        <v/>
      </c>
      <c r="H131" s="9">
        <f>IF(OR($A131="",F131="",G131=""),"",F131-G131)</f>
        <v/>
      </c>
      <c r="I131" s="9">
        <f>IF($A131="","",XLOOKUP($A131,RetirementPlan!$B:$B,RetirementPlan!$E:$E,""))</f>
        <v/>
      </c>
      <c r="J131" s="9">
        <f>IF($A131="","",N(XLOOKUP($A131,RetirementPlan!$B:$B,RetirementPlan!$G:$G,0))+N(XLOOKUP($A131,RetirementPlan!$B:$B,RetirementPlan!$H:$H,0)))</f>
        <v/>
      </c>
      <c r="K131">
        <f>IF($A131="","",IF(NOT(ISBLANK(XLOOKUP($A131,RetirementPlan!$B:$B,RetirementPlan!$N:$N,""))),XLOOKUP($A131,RetirementPlan!$B:$B,RetirementPlan!$N:$N,""),LET(cid,$A131,c,FILTER(LocationPlan!$D:$D,LocationPlan!$C:$C=cid),p,FILTER(LocationPlan!$E:$E,LocationPlan!$C:$C=cid),IFERROR(INDEX(c,MATCH(MAX(p),p,0)),""))))</f>
        <v/>
      </c>
    </row>
    <row r="132">
      <c r="B132">
        <f>IF($A132="","",XLOOKUP($A132,Clients!$A:$A,Clients!$D:$D)&amp;" "&amp;XLOOKUP($A132,Clients!$A:$A,Clients!$E:$E))</f>
        <v/>
      </c>
      <c r="C132">
        <f>IF($A132="","",DATEDIF(XLOOKUP($A132,Clients!$A:$A,Clients!$F:$F),VAL_DATE,"Y"))</f>
        <v/>
      </c>
      <c r="D132">
        <f>IF(OR($A132="",E132=""),"",E132-C132)</f>
        <v/>
      </c>
      <c r="E132">
        <f>IF($A132="","",XLOOKUP($A132,RetirementPlan!$B:$B,RetirementPlan!$C:$C,""))</f>
        <v/>
      </c>
      <c r="F132" s="9">
        <f>IF(OR($A132="",D132=""),"",FV(IF(IFERROR(XLOOKUP($A132,RetirementPlan!$B:$B,RetirementPlan!$K:$K,""),"")="",GROWTH,IFERROR(XLOOKUP($A132,RetirementPlan!$B:$B,RetirementPlan!$K:$K,""),"")),D132,-N(XLOOKUP($A132,RetirementPlan!$B:$B,RetirementPlan!$I:$I,0)),-SUMIFS(Assets!$J:$J,Assets!$B:$B,$A132,Assets!$R:$R,"Yes"),0))</f>
        <v/>
      </c>
      <c r="G132" s="9">
        <f>IF(OR($A132="",I132=""),"",MAX(0,(I132-J132)/IF(IFERROR(XLOOKUP($A132,RetirementPlan!$B:$B,RetirementPlan!$M:$M,""),"")="",SWR,IFERROR(XLOOKUP($A132,RetirementPlan!$B:$B,RetirementPlan!$M:$M,""),""))))</f>
        <v/>
      </c>
      <c r="H132" s="9">
        <f>IF(OR($A132="",F132="",G132=""),"",F132-G132)</f>
        <v/>
      </c>
      <c r="I132" s="9">
        <f>IF($A132="","",XLOOKUP($A132,RetirementPlan!$B:$B,RetirementPlan!$E:$E,""))</f>
        <v/>
      </c>
      <c r="J132" s="9">
        <f>IF($A132="","",N(XLOOKUP($A132,RetirementPlan!$B:$B,RetirementPlan!$G:$G,0))+N(XLOOKUP($A132,RetirementPlan!$B:$B,RetirementPlan!$H:$H,0)))</f>
        <v/>
      </c>
      <c r="K132">
        <f>IF($A132="","",IF(NOT(ISBLANK(XLOOKUP($A132,RetirementPlan!$B:$B,RetirementPlan!$N:$N,""))),XLOOKUP($A132,RetirementPlan!$B:$B,RetirementPlan!$N:$N,""),LET(cid,$A132,c,FILTER(LocationPlan!$D:$D,LocationPlan!$C:$C=cid),p,FILTER(LocationPlan!$E:$E,LocationPlan!$C:$C=cid),IFERROR(INDEX(c,MATCH(MAX(p),p,0)),""))))</f>
        <v/>
      </c>
    </row>
    <row r="133">
      <c r="B133">
        <f>IF($A133="","",XLOOKUP($A133,Clients!$A:$A,Clients!$D:$D)&amp;" "&amp;XLOOKUP($A133,Clients!$A:$A,Clients!$E:$E))</f>
        <v/>
      </c>
      <c r="C133">
        <f>IF($A133="","",DATEDIF(XLOOKUP($A133,Clients!$A:$A,Clients!$F:$F),VAL_DATE,"Y"))</f>
        <v/>
      </c>
      <c r="D133">
        <f>IF(OR($A133="",E133=""),"",E133-C133)</f>
        <v/>
      </c>
      <c r="E133">
        <f>IF($A133="","",XLOOKUP($A133,RetirementPlan!$B:$B,RetirementPlan!$C:$C,""))</f>
        <v/>
      </c>
      <c r="F133" s="9">
        <f>IF(OR($A133="",D133=""),"",FV(IF(IFERROR(XLOOKUP($A133,RetirementPlan!$B:$B,RetirementPlan!$K:$K,""),"")="",GROWTH,IFERROR(XLOOKUP($A133,RetirementPlan!$B:$B,RetirementPlan!$K:$K,""),"")),D133,-N(XLOOKUP($A133,RetirementPlan!$B:$B,RetirementPlan!$I:$I,0)),-SUMIFS(Assets!$J:$J,Assets!$B:$B,$A133,Assets!$R:$R,"Yes"),0))</f>
        <v/>
      </c>
      <c r="G133" s="9">
        <f>IF(OR($A133="",I133=""),"",MAX(0,(I133-J133)/IF(IFERROR(XLOOKUP($A133,RetirementPlan!$B:$B,RetirementPlan!$M:$M,""),"")="",SWR,IFERROR(XLOOKUP($A133,RetirementPlan!$B:$B,RetirementPlan!$M:$M,""),""))))</f>
        <v/>
      </c>
      <c r="H133" s="9">
        <f>IF(OR($A133="",F133="",G133=""),"",F133-G133)</f>
        <v/>
      </c>
      <c r="I133" s="9">
        <f>IF($A133="","",XLOOKUP($A133,RetirementPlan!$B:$B,RetirementPlan!$E:$E,""))</f>
        <v/>
      </c>
      <c r="J133" s="9">
        <f>IF($A133="","",N(XLOOKUP($A133,RetirementPlan!$B:$B,RetirementPlan!$G:$G,0))+N(XLOOKUP($A133,RetirementPlan!$B:$B,RetirementPlan!$H:$H,0)))</f>
        <v/>
      </c>
      <c r="K133">
        <f>IF($A133="","",IF(NOT(ISBLANK(XLOOKUP($A133,RetirementPlan!$B:$B,RetirementPlan!$N:$N,""))),XLOOKUP($A133,RetirementPlan!$B:$B,RetirementPlan!$N:$N,""),LET(cid,$A133,c,FILTER(LocationPlan!$D:$D,LocationPlan!$C:$C=cid),p,FILTER(LocationPlan!$E:$E,LocationPlan!$C:$C=cid),IFERROR(INDEX(c,MATCH(MAX(p),p,0)),""))))</f>
        <v/>
      </c>
    </row>
    <row r="134">
      <c r="B134">
        <f>IF($A134="","",XLOOKUP($A134,Clients!$A:$A,Clients!$D:$D)&amp;" "&amp;XLOOKUP($A134,Clients!$A:$A,Clients!$E:$E))</f>
        <v/>
      </c>
      <c r="C134">
        <f>IF($A134="","",DATEDIF(XLOOKUP($A134,Clients!$A:$A,Clients!$F:$F),VAL_DATE,"Y"))</f>
        <v/>
      </c>
      <c r="D134">
        <f>IF(OR($A134="",E134=""),"",E134-C134)</f>
        <v/>
      </c>
      <c r="E134">
        <f>IF($A134="","",XLOOKUP($A134,RetirementPlan!$B:$B,RetirementPlan!$C:$C,""))</f>
        <v/>
      </c>
      <c r="F134" s="9">
        <f>IF(OR($A134="",D134=""),"",FV(IF(IFERROR(XLOOKUP($A134,RetirementPlan!$B:$B,RetirementPlan!$K:$K,""),"")="",GROWTH,IFERROR(XLOOKUP($A134,RetirementPlan!$B:$B,RetirementPlan!$K:$K,""),"")),D134,-N(XLOOKUP($A134,RetirementPlan!$B:$B,RetirementPlan!$I:$I,0)),-SUMIFS(Assets!$J:$J,Assets!$B:$B,$A134,Assets!$R:$R,"Yes"),0))</f>
        <v/>
      </c>
      <c r="G134" s="9">
        <f>IF(OR($A134="",I134=""),"",MAX(0,(I134-J134)/IF(IFERROR(XLOOKUP($A134,RetirementPlan!$B:$B,RetirementPlan!$M:$M,""),"")="",SWR,IFERROR(XLOOKUP($A134,RetirementPlan!$B:$B,RetirementPlan!$M:$M,""),""))))</f>
        <v/>
      </c>
      <c r="H134" s="9">
        <f>IF(OR($A134="",F134="",G134=""),"",F134-G134)</f>
        <v/>
      </c>
      <c r="I134" s="9">
        <f>IF($A134="","",XLOOKUP($A134,RetirementPlan!$B:$B,RetirementPlan!$E:$E,""))</f>
        <v/>
      </c>
      <c r="J134" s="9">
        <f>IF($A134="","",N(XLOOKUP($A134,RetirementPlan!$B:$B,RetirementPlan!$G:$G,0))+N(XLOOKUP($A134,RetirementPlan!$B:$B,RetirementPlan!$H:$H,0)))</f>
        <v/>
      </c>
      <c r="K134">
        <f>IF($A134="","",IF(NOT(ISBLANK(XLOOKUP($A134,RetirementPlan!$B:$B,RetirementPlan!$N:$N,""))),XLOOKUP($A134,RetirementPlan!$B:$B,RetirementPlan!$N:$N,""),LET(cid,$A134,c,FILTER(LocationPlan!$D:$D,LocationPlan!$C:$C=cid),p,FILTER(LocationPlan!$E:$E,LocationPlan!$C:$C=cid),IFERROR(INDEX(c,MATCH(MAX(p),p,0)),""))))</f>
        <v/>
      </c>
    </row>
    <row r="135">
      <c r="B135">
        <f>IF($A135="","",XLOOKUP($A135,Clients!$A:$A,Clients!$D:$D)&amp;" "&amp;XLOOKUP($A135,Clients!$A:$A,Clients!$E:$E))</f>
        <v/>
      </c>
      <c r="C135">
        <f>IF($A135="","",DATEDIF(XLOOKUP($A135,Clients!$A:$A,Clients!$F:$F),VAL_DATE,"Y"))</f>
        <v/>
      </c>
      <c r="D135">
        <f>IF(OR($A135="",E135=""),"",E135-C135)</f>
        <v/>
      </c>
      <c r="E135">
        <f>IF($A135="","",XLOOKUP($A135,RetirementPlan!$B:$B,RetirementPlan!$C:$C,""))</f>
        <v/>
      </c>
      <c r="F135" s="9">
        <f>IF(OR($A135="",D135=""),"",FV(IF(IFERROR(XLOOKUP($A135,RetirementPlan!$B:$B,RetirementPlan!$K:$K,""),"")="",GROWTH,IFERROR(XLOOKUP($A135,RetirementPlan!$B:$B,RetirementPlan!$K:$K,""),"")),D135,-N(XLOOKUP($A135,RetirementPlan!$B:$B,RetirementPlan!$I:$I,0)),-SUMIFS(Assets!$J:$J,Assets!$B:$B,$A135,Assets!$R:$R,"Yes"),0))</f>
        <v/>
      </c>
      <c r="G135" s="9">
        <f>IF(OR($A135="",I135=""),"",MAX(0,(I135-J135)/IF(IFERROR(XLOOKUP($A135,RetirementPlan!$B:$B,RetirementPlan!$M:$M,""),"")="",SWR,IFERROR(XLOOKUP($A135,RetirementPlan!$B:$B,RetirementPlan!$M:$M,""),""))))</f>
        <v/>
      </c>
      <c r="H135" s="9">
        <f>IF(OR($A135="",F135="",G135=""),"",F135-G135)</f>
        <v/>
      </c>
      <c r="I135" s="9">
        <f>IF($A135="","",XLOOKUP($A135,RetirementPlan!$B:$B,RetirementPlan!$E:$E,""))</f>
        <v/>
      </c>
      <c r="J135" s="9">
        <f>IF($A135="","",N(XLOOKUP($A135,RetirementPlan!$B:$B,RetirementPlan!$G:$G,0))+N(XLOOKUP($A135,RetirementPlan!$B:$B,RetirementPlan!$H:$H,0)))</f>
        <v/>
      </c>
      <c r="K135">
        <f>IF($A135="","",IF(NOT(ISBLANK(XLOOKUP($A135,RetirementPlan!$B:$B,RetirementPlan!$N:$N,""))),XLOOKUP($A135,RetirementPlan!$B:$B,RetirementPlan!$N:$N,""),LET(cid,$A135,c,FILTER(LocationPlan!$D:$D,LocationPlan!$C:$C=cid),p,FILTER(LocationPlan!$E:$E,LocationPlan!$C:$C=cid),IFERROR(INDEX(c,MATCH(MAX(p),p,0)),""))))</f>
        <v/>
      </c>
    </row>
    <row r="136">
      <c r="B136">
        <f>IF($A136="","",XLOOKUP($A136,Clients!$A:$A,Clients!$D:$D)&amp;" "&amp;XLOOKUP($A136,Clients!$A:$A,Clients!$E:$E))</f>
        <v/>
      </c>
      <c r="C136">
        <f>IF($A136="","",DATEDIF(XLOOKUP($A136,Clients!$A:$A,Clients!$F:$F),VAL_DATE,"Y"))</f>
        <v/>
      </c>
      <c r="D136">
        <f>IF(OR($A136="",E136=""),"",E136-C136)</f>
        <v/>
      </c>
      <c r="E136">
        <f>IF($A136="","",XLOOKUP($A136,RetirementPlan!$B:$B,RetirementPlan!$C:$C,""))</f>
        <v/>
      </c>
      <c r="F136" s="9">
        <f>IF(OR($A136="",D136=""),"",FV(IF(IFERROR(XLOOKUP($A136,RetirementPlan!$B:$B,RetirementPlan!$K:$K,""),"")="",GROWTH,IFERROR(XLOOKUP($A136,RetirementPlan!$B:$B,RetirementPlan!$K:$K,""),"")),D136,-N(XLOOKUP($A136,RetirementPlan!$B:$B,RetirementPlan!$I:$I,0)),-SUMIFS(Assets!$J:$J,Assets!$B:$B,$A136,Assets!$R:$R,"Yes"),0))</f>
        <v/>
      </c>
      <c r="G136" s="9">
        <f>IF(OR($A136="",I136=""),"",MAX(0,(I136-J136)/IF(IFERROR(XLOOKUP($A136,RetirementPlan!$B:$B,RetirementPlan!$M:$M,""),"")="",SWR,IFERROR(XLOOKUP($A136,RetirementPlan!$B:$B,RetirementPlan!$M:$M,""),""))))</f>
        <v/>
      </c>
      <c r="H136" s="9">
        <f>IF(OR($A136="",F136="",G136=""),"",F136-G136)</f>
        <v/>
      </c>
      <c r="I136" s="9">
        <f>IF($A136="","",XLOOKUP($A136,RetirementPlan!$B:$B,RetirementPlan!$E:$E,""))</f>
        <v/>
      </c>
      <c r="J136" s="9">
        <f>IF($A136="","",N(XLOOKUP($A136,RetirementPlan!$B:$B,RetirementPlan!$G:$G,0))+N(XLOOKUP($A136,RetirementPlan!$B:$B,RetirementPlan!$H:$H,0)))</f>
        <v/>
      </c>
      <c r="K136">
        <f>IF($A136="","",IF(NOT(ISBLANK(XLOOKUP($A136,RetirementPlan!$B:$B,RetirementPlan!$N:$N,""))),XLOOKUP($A136,RetirementPlan!$B:$B,RetirementPlan!$N:$N,""),LET(cid,$A136,c,FILTER(LocationPlan!$D:$D,LocationPlan!$C:$C=cid),p,FILTER(LocationPlan!$E:$E,LocationPlan!$C:$C=cid),IFERROR(INDEX(c,MATCH(MAX(p),p,0)),""))))</f>
        <v/>
      </c>
    </row>
    <row r="137">
      <c r="B137">
        <f>IF($A137="","",XLOOKUP($A137,Clients!$A:$A,Clients!$D:$D)&amp;" "&amp;XLOOKUP($A137,Clients!$A:$A,Clients!$E:$E))</f>
        <v/>
      </c>
      <c r="C137">
        <f>IF($A137="","",DATEDIF(XLOOKUP($A137,Clients!$A:$A,Clients!$F:$F),VAL_DATE,"Y"))</f>
        <v/>
      </c>
      <c r="D137">
        <f>IF(OR($A137="",E137=""),"",E137-C137)</f>
        <v/>
      </c>
      <c r="E137">
        <f>IF($A137="","",XLOOKUP($A137,RetirementPlan!$B:$B,RetirementPlan!$C:$C,""))</f>
        <v/>
      </c>
      <c r="F137" s="9">
        <f>IF(OR($A137="",D137=""),"",FV(IF(IFERROR(XLOOKUP($A137,RetirementPlan!$B:$B,RetirementPlan!$K:$K,""),"")="",GROWTH,IFERROR(XLOOKUP($A137,RetirementPlan!$B:$B,RetirementPlan!$K:$K,""),"")),D137,-N(XLOOKUP($A137,RetirementPlan!$B:$B,RetirementPlan!$I:$I,0)),-SUMIFS(Assets!$J:$J,Assets!$B:$B,$A137,Assets!$R:$R,"Yes"),0))</f>
        <v/>
      </c>
      <c r="G137" s="9">
        <f>IF(OR($A137="",I137=""),"",MAX(0,(I137-J137)/IF(IFERROR(XLOOKUP($A137,RetirementPlan!$B:$B,RetirementPlan!$M:$M,""),"")="",SWR,IFERROR(XLOOKUP($A137,RetirementPlan!$B:$B,RetirementPlan!$M:$M,""),""))))</f>
        <v/>
      </c>
      <c r="H137" s="9">
        <f>IF(OR($A137="",F137="",G137=""),"",F137-G137)</f>
        <v/>
      </c>
      <c r="I137" s="9">
        <f>IF($A137="","",XLOOKUP($A137,RetirementPlan!$B:$B,RetirementPlan!$E:$E,""))</f>
        <v/>
      </c>
      <c r="J137" s="9">
        <f>IF($A137="","",N(XLOOKUP($A137,RetirementPlan!$B:$B,RetirementPlan!$G:$G,0))+N(XLOOKUP($A137,RetirementPlan!$B:$B,RetirementPlan!$H:$H,0)))</f>
        <v/>
      </c>
      <c r="K137">
        <f>IF($A137="","",IF(NOT(ISBLANK(XLOOKUP($A137,RetirementPlan!$B:$B,RetirementPlan!$N:$N,""))),XLOOKUP($A137,RetirementPlan!$B:$B,RetirementPlan!$N:$N,""),LET(cid,$A137,c,FILTER(LocationPlan!$D:$D,LocationPlan!$C:$C=cid),p,FILTER(LocationPlan!$E:$E,LocationPlan!$C:$C=cid),IFERROR(INDEX(c,MATCH(MAX(p),p,0)),""))))</f>
        <v/>
      </c>
    </row>
    <row r="138">
      <c r="B138">
        <f>IF($A138="","",XLOOKUP($A138,Clients!$A:$A,Clients!$D:$D)&amp;" "&amp;XLOOKUP($A138,Clients!$A:$A,Clients!$E:$E))</f>
        <v/>
      </c>
      <c r="C138">
        <f>IF($A138="","",DATEDIF(XLOOKUP($A138,Clients!$A:$A,Clients!$F:$F),VAL_DATE,"Y"))</f>
        <v/>
      </c>
      <c r="D138">
        <f>IF(OR($A138="",E138=""),"",E138-C138)</f>
        <v/>
      </c>
      <c r="E138">
        <f>IF($A138="","",XLOOKUP($A138,RetirementPlan!$B:$B,RetirementPlan!$C:$C,""))</f>
        <v/>
      </c>
      <c r="F138" s="9">
        <f>IF(OR($A138="",D138=""),"",FV(IF(IFERROR(XLOOKUP($A138,RetirementPlan!$B:$B,RetirementPlan!$K:$K,""),"")="",GROWTH,IFERROR(XLOOKUP($A138,RetirementPlan!$B:$B,RetirementPlan!$K:$K,""),"")),D138,-N(XLOOKUP($A138,RetirementPlan!$B:$B,RetirementPlan!$I:$I,0)),-SUMIFS(Assets!$J:$J,Assets!$B:$B,$A138,Assets!$R:$R,"Yes"),0))</f>
        <v/>
      </c>
      <c r="G138" s="9">
        <f>IF(OR($A138="",I138=""),"",MAX(0,(I138-J138)/IF(IFERROR(XLOOKUP($A138,RetirementPlan!$B:$B,RetirementPlan!$M:$M,""),"")="",SWR,IFERROR(XLOOKUP($A138,RetirementPlan!$B:$B,RetirementPlan!$M:$M,""),""))))</f>
        <v/>
      </c>
      <c r="H138" s="9">
        <f>IF(OR($A138="",F138="",G138=""),"",F138-G138)</f>
        <v/>
      </c>
      <c r="I138" s="9">
        <f>IF($A138="","",XLOOKUP($A138,RetirementPlan!$B:$B,RetirementPlan!$E:$E,""))</f>
        <v/>
      </c>
      <c r="J138" s="9">
        <f>IF($A138="","",N(XLOOKUP($A138,RetirementPlan!$B:$B,RetirementPlan!$G:$G,0))+N(XLOOKUP($A138,RetirementPlan!$B:$B,RetirementPlan!$H:$H,0)))</f>
        <v/>
      </c>
      <c r="K138">
        <f>IF($A138="","",IF(NOT(ISBLANK(XLOOKUP($A138,RetirementPlan!$B:$B,RetirementPlan!$N:$N,""))),XLOOKUP($A138,RetirementPlan!$B:$B,RetirementPlan!$N:$N,""),LET(cid,$A138,c,FILTER(LocationPlan!$D:$D,LocationPlan!$C:$C=cid),p,FILTER(LocationPlan!$E:$E,LocationPlan!$C:$C=cid),IFERROR(INDEX(c,MATCH(MAX(p),p,0)),""))))</f>
        <v/>
      </c>
    </row>
    <row r="139">
      <c r="B139">
        <f>IF($A139="","",XLOOKUP($A139,Clients!$A:$A,Clients!$D:$D)&amp;" "&amp;XLOOKUP($A139,Clients!$A:$A,Clients!$E:$E))</f>
        <v/>
      </c>
      <c r="C139">
        <f>IF($A139="","",DATEDIF(XLOOKUP($A139,Clients!$A:$A,Clients!$F:$F),VAL_DATE,"Y"))</f>
        <v/>
      </c>
      <c r="D139">
        <f>IF(OR($A139="",E139=""),"",E139-C139)</f>
        <v/>
      </c>
      <c r="E139">
        <f>IF($A139="","",XLOOKUP($A139,RetirementPlan!$B:$B,RetirementPlan!$C:$C,""))</f>
        <v/>
      </c>
      <c r="F139" s="9">
        <f>IF(OR($A139="",D139=""),"",FV(IF(IFERROR(XLOOKUP($A139,RetirementPlan!$B:$B,RetirementPlan!$K:$K,""),"")="",GROWTH,IFERROR(XLOOKUP($A139,RetirementPlan!$B:$B,RetirementPlan!$K:$K,""),"")),D139,-N(XLOOKUP($A139,RetirementPlan!$B:$B,RetirementPlan!$I:$I,0)),-SUMIFS(Assets!$J:$J,Assets!$B:$B,$A139,Assets!$R:$R,"Yes"),0))</f>
        <v/>
      </c>
      <c r="G139" s="9">
        <f>IF(OR($A139="",I139=""),"",MAX(0,(I139-J139)/IF(IFERROR(XLOOKUP($A139,RetirementPlan!$B:$B,RetirementPlan!$M:$M,""),"")="",SWR,IFERROR(XLOOKUP($A139,RetirementPlan!$B:$B,RetirementPlan!$M:$M,""),""))))</f>
        <v/>
      </c>
      <c r="H139" s="9">
        <f>IF(OR($A139="",F139="",G139=""),"",F139-G139)</f>
        <v/>
      </c>
      <c r="I139" s="9">
        <f>IF($A139="","",XLOOKUP($A139,RetirementPlan!$B:$B,RetirementPlan!$E:$E,""))</f>
        <v/>
      </c>
      <c r="J139" s="9">
        <f>IF($A139="","",N(XLOOKUP($A139,RetirementPlan!$B:$B,RetirementPlan!$G:$G,0))+N(XLOOKUP($A139,RetirementPlan!$B:$B,RetirementPlan!$H:$H,0)))</f>
        <v/>
      </c>
      <c r="K139">
        <f>IF($A139="","",IF(NOT(ISBLANK(XLOOKUP($A139,RetirementPlan!$B:$B,RetirementPlan!$N:$N,""))),XLOOKUP($A139,RetirementPlan!$B:$B,RetirementPlan!$N:$N,""),LET(cid,$A139,c,FILTER(LocationPlan!$D:$D,LocationPlan!$C:$C=cid),p,FILTER(LocationPlan!$E:$E,LocationPlan!$C:$C=cid),IFERROR(INDEX(c,MATCH(MAX(p),p,0)),""))))</f>
        <v/>
      </c>
    </row>
    <row r="140">
      <c r="B140">
        <f>IF($A140="","",XLOOKUP($A140,Clients!$A:$A,Clients!$D:$D)&amp;" "&amp;XLOOKUP($A140,Clients!$A:$A,Clients!$E:$E))</f>
        <v/>
      </c>
      <c r="C140">
        <f>IF($A140="","",DATEDIF(XLOOKUP($A140,Clients!$A:$A,Clients!$F:$F),VAL_DATE,"Y"))</f>
        <v/>
      </c>
      <c r="D140">
        <f>IF(OR($A140="",E140=""),"",E140-C140)</f>
        <v/>
      </c>
      <c r="E140">
        <f>IF($A140="","",XLOOKUP($A140,RetirementPlan!$B:$B,RetirementPlan!$C:$C,""))</f>
        <v/>
      </c>
      <c r="F140" s="9">
        <f>IF(OR($A140="",D140=""),"",FV(IF(IFERROR(XLOOKUP($A140,RetirementPlan!$B:$B,RetirementPlan!$K:$K,""),"")="",GROWTH,IFERROR(XLOOKUP($A140,RetirementPlan!$B:$B,RetirementPlan!$K:$K,""),"")),D140,-N(XLOOKUP($A140,RetirementPlan!$B:$B,RetirementPlan!$I:$I,0)),-SUMIFS(Assets!$J:$J,Assets!$B:$B,$A140,Assets!$R:$R,"Yes"),0))</f>
        <v/>
      </c>
      <c r="G140" s="9">
        <f>IF(OR($A140="",I140=""),"",MAX(0,(I140-J140)/IF(IFERROR(XLOOKUP($A140,RetirementPlan!$B:$B,RetirementPlan!$M:$M,""),"")="",SWR,IFERROR(XLOOKUP($A140,RetirementPlan!$B:$B,RetirementPlan!$M:$M,""),""))))</f>
        <v/>
      </c>
      <c r="H140" s="9">
        <f>IF(OR($A140="",F140="",G140=""),"",F140-G140)</f>
        <v/>
      </c>
      <c r="I140" s="9">
        <f>IF($A140="","",XLOOKUP($A140,RetirementPlan!$B:$B,RetirementPlan!$E:$E,""))</f>
        <v/>
      </c>
      <c r="J140" s="9">
        <f>IF($A140="","",N(XLOOKUP($A140,RetirementPlan!$B:$B,RetirementPlan!$G:$G,0))+N(XLOOKUP($A140,RetirementPlan!$B:$B,RetirementPlan!$H:$H,0)))</f>
        <v/>
      </c>
      <c r="K140">
        <f>IF($A140="","",IF(NOT(ISBLANK(XLOOKUP($A140,RetirementPlan!$B:$B,RetirementPlan!$N:$N,""))),XLOOKUP($A140,RetirementPlan!$B:$B,RetirementPlan!$N:$N,""),LET(cid,$A140,c,FILTER(LocationPlan!$D:$D,LocationPlan!$C:$C=cid),p,FILTER(LocationPlan!$E:$E,LocationPlan!$C:$C=cid),IFERROR(INDEX(c,MATCH(MAX(p),p,0)),""))))</f>
        <v/>
      </c>
    </row>
    <row r="141">
      <c r="B141">
        <f>IF($A141="","",XLOOKUP($A141,Clients!$A:$A,Clients!$D:$D)&amp;" "&amp;XLOOKUP($A141,Clients!$A:$A,Clients!$E:$E))</f>
        <v/>
      </c>
      <c r="C141">
        <f>IF($A141="","",DATEDIF(XLOOKUP($A141,Clients!$A:$A,Clients!$F:$F),VAL_DATE,"Y"))</f>
        <v/>
      </c>
      <c r="D141">
        <f>IF(OR($A141="",E141=""),"",E141-C141)</f>
        <v/>
      </c>
      <c r="E141">
        <f>IF($A141="","",XLOOKUP($A141,RetirementPlan!$B:$B,RetirementPlan!$C:$C,""))</f>
        <v/>
      </c>
      <c r="F141" s="9">
        <f>IF(OR($A141="",D141=""),"",FV(IF(IFERROR(XLOOKUP($A141,RetirementPlan!$B:$B,RetirementPlan!$K:$K,""),"")="",GROWTH,IFERROR(XLOOKUP($A141,RetirementPlan!$B:$B,RetirementPlan!$K:$K,""),"")),D141,-N(XLOOKUP($A141,RetirementPlan!$B:$B,RetirementPlan!$I:$I,0)),-SUMIFS(Assets!$J:$J,Assets!$B:$B,$A141,Assets!$R:$R,"Yes"),0))</f>
        <v/>
      </c>
      <c r="G141" s="9">
        <f>IF(OR($A141="",I141=""),"",MAX(0,(I141-J141)/IF(IFERROR(XLOOKUP($A141,RetirementPlan!$B:$B,RetirementPlan!$M:$M,""),"")="",SWR,IFERROR(XLOOKUP($A141,RetirementPlan!$B:$B,RetirementPlan!$M:$M,""),""))))</f>
        <v/>
      </c>
      <c r="H141" s="9">
        <f>IF(OR($A141="",F141="",G141=""),"",F141-G141)</f>
        <v/>
      </c>
      <c r="I141" s="9">
        <f>IF($A141="","",XLOOKUP($A141,RetirementPlan!$B:$B,RetirementPlan!$E:$E,""))</f>
        <v/>
      </c>
      <c r="J141" s="9">
        <f>IF($A141="","",N(XLOOKUP($A141,RetirementPlan!$B:$B,RetirementPlan!$G:$G,0))+N(XLOOKUP($A141,RetirementPlan!$B:$B,RetirementPlan!$H:$H,0)))</f>
        <v/>
      </c>
      <c r="K141">
        <f>IF($A141="","",IF(NOT(ISBLANK(XLOOKUP($A141,RetirementPlan!$B:$B,RetirementPlan!$N:$N,""))),XLOOKUP($A141,RetirementPlan!$B:$B,RetirementPlan!$N:$N,""),LET(cid,$A141,c,FILTER(LocationPlan!$D:$D,LocationPlan!$C:$C=cid),p,FILTER(LocationPlan!$E:$E,LocationPlan!$C:$C=cid),IFERROR(INDEX(c,MATCH(MAX(p),p,0)),""))))</f>
        <v/>
      </c>
    </row>
    <row r="142">
      <c r="B142">
        <f>IF($A142="","",XLOOKUP($A142,Clients!$A:$A,Clients!$D:$D)&amp;" "&amp;XLOOKUP($A142,Clients!$A:$A,Clients!$E:$E))</f>
        <v/>
      </c>
      <c r="C142">
        <f>IF($A142="","",DATEDIF(XLOOKUP($A142,Clients!$A:$A,Clients!$F:$F),VAL_DATE,"Y"))</f>
        <v/>
      </c>
      <c r="D142">
        <f>IF(OR($A142="",E142=""),"",E142-C142)</f>
        <v/>
      </c>
      <c r="E142">
        <f>IF($A142="","",XLOOKUP($A142,RetirementPlan!$B:$B,RetirementPlan!$C:$C,""))</f>
        <v/>
      </c>
      <c r="F142" s="9">
        <f>IF(OR($A142="",D142=""),"",FV(IF(IFERROR(XLOOKUP($A142,RetirementPlan!$B:$B,RetirementPlan!$K:$K,""),"")="",GROWTH,IFERROR(XLOOKUP($A142,RetirementPlan!$B:$B,RetirementPlan!$K:$K,""),"")),D142,-N(XLOOKUP($A142,RetirementPlan!$B:$B,RetirementPlan!$I:$I,0)),-SUMIFS(Assets!$J:$J,Assets!$B:$B,$A142,Assets!$R:$R,"Yes"),0))</f>
        <v/>
      </c>
      <c r="G142" s="9">
        <f>IF(OR($A142="",I142=""),"",MAX(0,(I142-J142)/IF(IFERROR(XLOOKUP($A142,RetirementPlan!$B:$B,RetirementPlan!$M:$M,""),"")="",SWR,IFERROR(XLOOKUP($A142,RetirementPlan!$B:$B,RetirementPlan!$M:$M,""),""))))</f>
        <v/>
      </c>
      <c r="H142" s="9">
        <f>IF(OR($A142="",F142="",G142=""),"",F142-G142)</f>
        <v/>
      </c>
      <c r="I142" s="9">
        <f>IF($A142="","",XLOOKUP($A142,RetirementPlan!$B:$B,RetirementPlan!$E:$E,""))</f>
        <v/>
      </c>
      <c r="J142" s="9">
        <f>IF($A142="","",N(XLOOKUP($A142,RetirementPlan!$B:$B,RetirementPlan!$G:$G,0))+N(XLOOKUP($A142,RetirementPlan!$B:$B,RetirementPlan!$H:$H,0)))</f>
        <v/>
      </c>
      <c r="K142">
        <f>IF($A142="","",IF(NOT(ISBLANK(XLOOKUP($A142,RetirementPlan!$B:$B,RetirementPlan!$N:$N,""))),XLOOKUP($A142,RetirementPlan!$B:$B,RetirementPlan!$N:$N,""),LET(cid,$A142,c,FILTER(LocationPlan!$D:$D,LocationPlan!$C:$C=cid),p,FILTER(LocationPlan!$E:$E,LocationPlan!$C:$C=cid),IFERROR(INDEX(c,MATCH(MAX(p),p,0)),""))))</f>
        <v/>
      </c>
    </row>
    <row r="143">
      <c r="B143">
        <f>IF($A143="","",XLOOKUP($A143,Clients!$A:$A,Clients!$D:$D)&amp;" "&amp;XLOOKUP($A143,Clients!$A:$A,Clients!$E:$E))</f>
        <v/>
      </c>
      <c r="C143">
        <f>IF($A143="","",DATEDIF(XLOOKUP($A143,Clients!$A:$A,Clients!$F:$F),VAL_DATE,"Y"))</f>
        <v/>
      </c>
      <c r="D143">
        <f>IF(OR($A143="",E143=""),"",E143-C143)</f>
        <v/>
      </c>
      <c r="E143">
        <f>IF($A143="","",XLOOKUP($A143,RetirementPlan!$B:$B,RetirementPlan!$C:$C,""))</f>
        <v/>
      </c>
      <c r="F143" s="9">
        <f>IF(OR($A143="",D143=""),"",FV(IF(IFERROR(XLOOKUP($A143,RetirementPlan!$B:$B,RetirementPlan!$K:$K,""),"")="",GROWTH,IFERROR(XLOOKUP($A143,RetirementPlan!$B:$B,RetirementPlan!$K:$K,""),"")),D143,-N(XLOOKUP($A143,RetirementPlan!$B:$B,RetirementPlan!$I:$I,0)),-SUMIFS(Assets!$J:$J,Assets!$B:$B,$A143,Assets!$R:$R,"Yes"),0))</f>
        <v/>
      </c>
      <c r="G143" s="9">
        <f>IF(OR($A143="",I143=""),"",MAX(0,(I143-J143)/IF(IFERROR(XLOOKUP($A143,RetirementPlan!$B:$B,RetirementPlan!$M:$M,""),"")="",SWR,IFERROR(XLOOKUP($A143,RetirementPlan!$B:$B,RetirementPlan!$M:$M,""),""))))</f>
        <v/>
      </c>
      <c r="H143" s="9">
        <f>IF(OR($A143="",F143="",G143=""),"",F143-G143)</f>
        <v/>
      </c>
      <c r="I143" s="9">
        <f>IF($A143="","",XLOOKUP($A143,RetirementPlan!$B:$B,RetirementPlan!$E:$E,""))</f>
        <v/>
      </c>
      <c r="J143" s="9">
        <f>IF($A143="","",N(XLOOKUP($A143,RetirementPlan!$B:$B,RetirementPlan!$G:$G,0))+N(XLOOKUP($A143,RetirementPlan!$B:$B,RetirementPlan!$H:$H,0)))</f>
        <v/>
      </c>
      <c r="K143">
        <f>IF($A143="","",IF(NOT(ISBLANK(XLOOKUP($A143,RetirementPlan!$B:$B,RetirementPlan!$N:$N,""))),XLOOKUP($A143,RetirementPlan!$B:$B,RetirementPlan!$N:$N,""),LET(cid,$A143,c,FILTER(LocationPlan!$D:$D,LocationPlan!$C:$C=cid),p,FILTER(LocationPlan!$E:$E,LocationPlan!$C:$C=cid),IFERROR(INDEX(c,MATCH(MAX(p),p,0)),""))))</f>
        <v/>
      </c>
    </row>
    <row r="144">
      <c r="B144">
        <f>IF($A144="","",XLOOKUP($A144,Clients!$A:$A,Clients!$D:$D)&amp;" "&amp;XLOOKUP($A144,Clients!$A:$A,Clients!$E:$E))</f>
        <v/>
      </c>
      <c r="C144">
        <f>IF($A144="","",DATEDIF(XLOOKUP($A144,Clients!$A:$A,Clients!$F:$F),VAL_DATE,"Y"))</f>
        <v/>
      </c>
      <c r="D144">
        <f>IF(OR($A144="",E144=""),"",E144-C144)</f>
        <v/>
      </c>
      <c r="E144">
        <f>IF($A144="","",XLOOKUP($A144,RetirementPlan!$B:$B,RetirementPlan!$C:$C,""))</f>
        <v/>
      </c>
      <c r="F144" s="9">
        <f>IF(OR($A144="",D144=""),"",FV(IF(IFERROR(XLOOKUP($A144,RetirementPlan!$B:$B,RetirementPlan!$K:$K,""),"")="",GROWTH,IFERROR(XLOOKUP($A144,RetirementPlan!$B:$B,RetirementPlan!$K:$K,""),"")),D144,-N(XLOOKUP($A144,RetirementPlan!$B:$B,RetirementPlan!$I:$I,0)),-SUMIFS(Assets!$J:$J,Assets!$B:$B,$A144,Assets!$R:$R,"Yes"),0))</f>
        <v/>
      </c>
      <c r="G144" s="9">
        <f>IF(OR($A144="",I144=""),"",MAX(0,(I144-J144)/IF(IFERROR(XLOOKUP($A144,RetirementPlan!$B:$B,RetirementPlan!$M:$M,""),"")="",SWR,IFERROR(XLOOKUP($A144,RetirementPlan!$B:$B,RetirementPlan!$M:$M,""),""))))</f>
        <v/>
      </c>
      <c r="H144" s="9">
        <f>IF(OR($A144="",F144="",G144=""),"",F144-G144)</f>
        <v/>
      </c>
      <c r="I144" s="9">
        <f>IF($A144="","",XLOOKUP($A144,RetirementPlan!$B:$B,RetirementPlan!$E:$E,""))</f>
        <v/>
      </c>
      <c r="J144" s="9">
        <f>IF($A144="","",N(XLOOKUP($A144,RetirementPlan!$B:$B,RetirementPlan!$G:$G,0))+N(XLOOKUP($A144,RetirementPlan!$B:$B,RetirementPlan!$H:$H,0)))</f>
        <v/>
      </c>
      <c r="K144">
        <f>IF($A144="","",IF(NOT(ISBLANK(XLOOKUP($A144,RetirementPlan!$B:$B,RetirementPlan!$N:$N,""))),XLOOKUP($A144,RetirementPlan!$B:$B,RetirementPlan!$N:$N,""),LET(cid,$A144,c,FILTER(LocationPlan!$D:$D,LocationPlan!$C:$C=cid),p,FILTER(LocationPlan!$E:$E,LocationPlan!$C:$C=cid),IFERROR(INDEX(c,MATCH(MAX(p),p,0)),""))))</f>
        <v/>
      </c>
    </row>
    <row r="145">
      <c r="B145">
        <f>IF($A145="","",XLOOKUP($A145,Clients!$A:$A,Clients!$D:$D)&amp;" "&amp;XLOOKUP($A145,Clients!$A:$A,Clients!$E:$E))</f>
        <v/>
      </c>
      <c r="C145">
        <f>IF($A145="","",DATEDIF(XLOOKUP($A145,Clients!$A:$A,Clients!$F:$F),VAL_DATE,"Y"))</f>
        <v/>
      </c>
      <c r="D145">
        <f>IF(OR($A145="",E145=""),"",E145-C145)</f>
        <v/>
      </c>
      <c r="E145">
        <f>IF($A145="","",XLOOKUP($A145,RetirementPlan!$B:$B,RetirementPlan!$C:$C,""))</f>
        <v/>
      </c>
      <c r="F145" s="9">
        <f>IF(OR($A145="",D145=""),"",FV(IF(IFERROR(XLOOKUP($A145,RetirementPlan!$B:$B,RetirementPlan!$K:$K,""),"")="",GROWTH,IFERROR(XLOOKUP($A145,RetirementPlan!$B:$B,RetirementPlan!$K:$K,""),"")),D145,-N(XLOOKUP($A145,RetirementPlan!$B:$B,RetirementPlan!$I:$I,0)),-SUMIFS(Assets!$J:$J,Assets!$B:$B,$A145,Assets!$R:$R,"Yes"),0))</f>
        <v/>
      </c>
      <c r="G145" s="9">
        <f>IF(OR($A145="",I145=""),"",MAX(0,(I145-J145)/IF(IFERROR(XLOOKUP($A145,RetirementPlan!$B:$B,RetirementPlan!$M:$M,""),"")="",SWR,IFERROR(XLOOKUP($A145,RetirementPlan!$B:$B,RetirementPlan!$M:$M,""),""))))</f>
        <v/>
      </c>
      <c r="H145" s="9">
        <f>IF(OR($A145="",F145="",G145=""),"",F145-G145)</f>
        <v/>
      </c>
      <c r="I145" s="9">
        <f>IF($A145="","",XLOOKUP($A145,RetirementPlan!$B:$B,RetirementPlan!$E:$E,""))</f>
        <v/>
      </c>
      <c r="J145" s="9">
        <f>IF($A145="","",N(XLOOKUP($A145,RetirementPlan!$B:$B,RetirementPlan!$G:$G,0))+N(XLOOKUP($A145,RetirementPlan!$B:$B,RetirementPlan!$H:$H,0)))</f>
        <v/>
      </c>
      <c r="K145">
        <f>IF($A145="","",IF(NOT(ISBLANK(XLOOKUP($A145,RetirementPlan!$B:$B,RetirementPlan!$N:$N,""))),XLOOKUP($A145,RetirementPlan!$B:$B,RetirementPlan!$N:$N,""),LET(cid,$A145,c,FILTER(LocationPlan!$D:$D,LocationPlan!$C:$C=cid),p,FILTER(LocationPlan!$E:$E,LocationPlan!$C:$C=cid),IFERROR(INDEX(c,MATCH(MAX(p),p,0)),""))))</f>
        <v/>
      </c>
    </row>
    <row r="146">
      <c r="B146">
        <f>IF($A146="","",XLOOKUP($A146,Clients!$A:$A,Clients!$D:$D)&amp;" "&amp;XLOOKUP($A146,Clients!$A:$A,Clients!$E:$E))</f>
        <v/>
      </c>
      <c r="C146">
        <f>IF($A146="","",DATEDIF(XLOOKUP($A146,Clients!$A:$A,Clients!$F:$F),VAL_DATE,"Y"))</f>
        <v/>
      </c>
      <c r="D146">
        <f>IF(OR($A146="",E146=""),"",E146-C146)</f>
        <v/>
      </c>
      <c r="E146">
        <f>IF($A146="","",XLOOKUP($A146,RetirementPlan!$B:$B,RetirementPlan!$C:$C,""))</f>
        <v/>
      </c>
      <c r="F146" s="9">
        <f>IF(OR($A146="",D146=""),"",FV(IF(IFERROR(XLOOKUP($A146,RetirementPlan!$B:$B,RetirementPlan!$K:$K,""),"")="",GROWTH,IFERROR(XLOOKUP($A146,RetirementPlan!$B:$B,RetirementPlan!$K:$K,""),"")),D146,-N(XLOOKUP($A146,RetirementPlan!$B:$B,RetirementPlan!$I:$I,0)),-SUMIFS(Assets!$J:$J,Assets!$B:$B,$A146,Assets!$R:$R,"Yes"),0))</f>
        <v/>
      </c>
      <c r="G146" s="9">
        <f>IF(OR($A146="",I146=""),"",MAX(0,(I146-J146)/IF(IFERROR(XLOOKUP($A146,RetirementPlan!$B:$B,RetirementPlan!$M:$M,""),"")="",SWR,IFERROR(XLOOKUP($A146,RetirementPlan!$B:$B,RetirementPlan!$M:$M,""),""))))</f>
        <v/>
      </c>
      <c r="H146" s="9">
        <f>IF(OR($A146="",F146="",G146=""),"",F146-G146)</f>
        <v/>
      </c>
      <c r="I146" s="9">
        <f>IF($A146="","",XLOOKUP($A146,RetirementPlan!$B:$B,RetirementPlan!$E:$E,""))</f>
        <v/>
      </c>
      <c r="J146" s="9">
        <f>IF($A146="","",N(XLOOKUP($A146,RetirementPlan!$B:$B,RetirementPlan!$G:$G,0))+N(XLOOKUP($A146,RetirementPlan!$B:$B,RetirementPlan!$H:$H,0)))</f>
        <v/>
      </c>
      <c r="K146">
        <f>IF($A146="","",IF(NOT(ISBLANK(XLOOKUP($A146,RetirementPlan!$B:$B,RetirementPlan!$N:$N,""))),XLOOKUP($A146,RetirementPlan!$B:$B,RetirementPlan!$N:$N,""),LET(cid,$A146,c,FILTER(LocationPlan!$D:$D,LocationPlan!$C:$C=cid),p,FILTER(LocationPlan!$E:$E,LocationPlan!$C:$C=cid),IFERROR(INDEX(c,MATCH(MAX(p),p,0)),""))))</f>
        <v/>
      </c>
    </row>
    <row r="147">
      <c r="B147">
        <f>IF($A147="","",XLOOKUP($A147,Clients!$A:$A,Clients!$D:$D)&amp;" "&amp;XLOOKUP($A147,Clients!$A:$A,Clients!$E:$E))</f>
        <v/>
      </c>
      <c r="C147">
        <f>IF($A147="","",DATEDIF(XLOOKUP($A147,Clients!$A:$A,Clients!$F:$F),VAL_DATE,"Y"))</f>
        <v/>
      </c>
      <c r="D147">
        <f>IF(OR($A147="",E147=""),"",E147-C147)</f>
        <v/>
      </c>
      <c r="E147">
        <f>IF($A147="","",XLOOKUP($A147,RetirementPlan!$B:$B,RetirementPlan!$C:$C,""))</f>
        <v/>
      </c>
      <c r="F147" s="9">
        <f>IF(OR($A147="",D147=""),"",FV(IF(IFERROR(XLOOKUP($A147,RetirementPlan!$B:$B,RetirementPlan!$K:$K,""),"")="",GROWTH,IFERROR(XLOOKUP($A147,RetirementPlan!$B:$B,RetirementPlan!$K:$K,""),"")),D147,-N(XLOOKUP($A147,RetirementPlan!$B:$B,RetirementPlan!$I:$I,0)),-SUMIFS(Assets!$J:$J,Assets!$B:$B,$A147,Assets!$R:$R,"Yes"),0))</f>
        <v/>
      </c>
      <c r="G147" s="9">
        <f>IF(OR($A147="",I147=""),"",MAX(0,(I147-J147)/IF(IFERROR(XLOOKUP($A147,RetirementPlan!$B:$B,RetirementPlan!$M:$M,""),"")="",SWR,IFERROR(XLOOKUP($A147,RetirementPlan!$B:$B,RetirementPlan!$M:$M,""),""))))</f>
        <v/>
      </c>
      <c r="H147" s="9">
        <f>IF(OR($A147="",F147="",G147=""),"",F147-G147)</f>
        <v/>
      </c>
      <c r="I147" s="9">
        <f>IF($A147="","",XLOOKUP($A147,RetirementPlan!$B:$B,RetirementPlan!$E:$E,""))</f>
        <v/>
      </c>
      <c r="J147" s="9">
        <f>IF($A147="","",N(XLOOKUP($A147,RetirementPlan!$B:$B,RetirementPlan!$G:$G,0))+N(XLOOKUP($A147,RetirementPlan!$B:$B,RetirementPlan!$H:$H,0)))</f>
        <v/>
      </c>
      <c r="K147">
        <f>IF($A147="","",IF(NOT(ISBLANK(XLOOKUP($A147,RetirementPlan!$B:$B,RetirementPlan!$N:$N,""))),XLOOKUP($A147,RetirementPlan!$B:$B,RetirementPlan!$N:$N,""),LET(cid,$A147,c,FILTER(LocationPlan!$D:$D,LocationPlan!$C:$C=cid),p,FILTER(LocationPlan!$E:$E,LocationPlan!$C:$C=cid),IFERROR(INDEX(c,MATCH(MAX(p),p,0)),""))))</f>
        <v/>
      </c>
    </row>
    <row r="148">
      <c r="B148">
        <f>IF($A148="","",XLOOKUP($A148,Clients!$A:$A,Clients!$D:$D)&amp;" "&amp;XLOOKUP($A148,Clients!$A:$A,Clients!$E:$E))</f>
        <v/>
      </c>
      <c r="C148">
        <f>IF($A148="","",DATEDIF(XLOOKUP($A148,Clients!$A:$A,Clients!$F:$F),VAL_DATE,"Y"))</f>
        <v/>
      </c>
      <c r="D148">
        <f>IF(OR($A148="",E148=""),"",E148-C148)</f>
        <v/>
      </c>
      <c r="E148">
        <f>IF($A148="","",XLOOKUP($A148,RetirementPlan!$B:$B,RetirementPlan!$C:$C,""))</f>
        <v/>
      </c>
      <c r="F148" s="9">
        <f>IF(OR($A148="",D148=""),"",FV(IF(IFERROR(XLOOKUP($A148,RetirementPlan!$B:$B,RetirementPlan!$K:$K,""),"")="",GROWTH,IFERROR(XLOOKUP($A148,RetirementPlan!$B:$B,RetirementPlan!$K:$K,""),"")),D148,-N(XLOOKUP($A148,RetirementPlan!$B:$B,RetirementPlan!$I:$I,0)),-SUMIFS(Assets!$J:$J,Assets!$B:$B,$A148,Assets!$R:$R,"Yes"),0))</f>
        <v/>
      </c>
      <c r="G148" s="9">
        <f>IF(OR($A148="",I148=""),"",MAX(0,(I148-J148)/IF(IFERROR(XLOOKUP($A148,RetirementPlan!$B:$B,RetirementPlan!$M:$M,""),"")="",SWR,IFERROR(XLOOKUP($A148,RetirementPlan!$B:$B,RetirementPlan!$M:$M,""),""))))</f>
        <v/>
      </c>
      <c r="H148" s="9">
        <f>IF(OR($A148="",F148="",G148=""),"",F148-G148)</f>
        <v/>
      </c>
      <c r="I148" s="9">
        <f>IF($A148="","",XLOOKUP($A148,RetirementPlan!$B:$B,RetirementPlan!$E:$E,""))</f>
        <v/>
      </c>
      <c r="J148" s="9">
        <f>IF($A148="","",N(XLOOKUP($A148,RetirementPlan!$B:$B,RetirementPlan!$G:$G,0))+N(XLOOKUP($A148,RetirementPlan!$B:$B,RetirementPlan!$H:$H,0)))</f>
        <v/>
      </c>
      <c r="K148">
        <f>IF($A148="","",IF(NOT(ISBLANK(XLOOKUP($A148,RetirementPlan!$B:$B,RetirementPlan!$N:$N,""))),XLOOKUP($A148,RetirementPlan!$B:$B,RetirementPlan!$N:$N,""),LET(cid,$A148,c,FILTER(LocationPlan!$D:$D,LocationPlan!$C:$C=cid),p,FILTER(LocationPlan!$E:$E,LocationPlan!$C:$C=cid),IFERROR(INDEX(c,MATCH(MAX(p),p,0)),""))))</f>
        <v/>
      </c>
    </row>
    <row r="149">
      <c r="B149">
        <f>IF($A149="","",XLOOKUP($A149,Clients!$A:$A,Clients!$D:$D)&amp;" "&amp;XLOOKUP($A149,Clients!$A:$A,Clients!$E:$E))</f>
        <v/>
      </c>
      <c r="C149">
        <f>IF($A149="","",DATEDIF(XLOOKUP($A149,Clients!$A:$A,Clients!$F:$F),VAL_DATE,"Y"))</f>
        <v/>
      </c>
      <c r="D149">
        <f>IF(OR($A149="",E149=""),"",E149-C149)</f>
        <v/>
      </c>
      <c r="E149">
        <f>IF($A149="","",XLOOKUP($A149,RetirementPlan!$B:$B,RetirementPlan!$C:$C,""))</f>
        <v/>
      </c>
      <c r="F149" s="9">
        <f>IF(OR($A149="",D149=""),"",FV(IF(IFERROR(XLOOKUP($A149,RetirementPlan!$B:$B,RetirementPlan!$K:$K,""),"")="",GROWTH,IFERROR(XLOOKUP($A149,RetirementPlan!$B:$B,RetirementPlan!$K:$K,""),"")),D149,-N(XLOOKUP($A149,RetirementPlan!$B:$B,RetirementPlan!$I:$I,0)),-SUMIFS(Assets!$J:$J,Assets!$B:$B,$A149,Assets!$R:$R,"Yes"),0))</f>
        <v/>
      </c>
      <c r="G149" s="9">
        <f>IF(OR($A149="",I149=""),"",MAX(0,(I149-J149)/IF(IFERROR(XLOOKUP($A149,RetirementPlan!$B:$B,RetirementPlan!$M:$M,""),"")="",SWR,IFERROR(XLOOKUP($A149,RetirementPlan!$B:$B,RetirementPlan!$M:$M,""),""))))</f>
        <v/>
      </c>
      <c r="H149" s="9">
        <f>IF(OR($A149="",F149="",G149=""),"",F149-G149)</f>
        <v/>
      </c>
      <c r="I149" s="9">
        <f>IF($A149="","",XLOOKUP($A149,RetirementPlan!$B:$B,RetirementPlan!$E:$E,""))</f>
        <v/>
      </c>
      <c r="J149" s="9">
        <f>IF($A149="","",N(XLOOKUP($A149,RetirementPlan!$B:$B,RetirementPlan!$G:$G,0))+N(XLOOKUP($A149,RetirementPlan!$B:$B,RetirementPlan!$H:$H,0)))</f>
        <v/>
      </c>
      <c r="K149">
        <f>IF($A149="","",IF(NOT(ISBLANK(XLOOKUP($A149,RetirementPlan!$B:$B,RetirementPlan!$N:$N,""))),XLOOKUP($A149,RetirementPlan!$B:$B,RetirementPlan!$N:$N,""),LET(cid,$A149,c,FILTER(LocationPlan!$D:$D,LocationPlan!$C:$C=cid),p,FILTER(LocationPlan!$E:$E,LocationPlan!$C:$C=cid),IFERROR(INDEX(c,MATCH(MAX(p),p,0)),""))))</f>
        <v/>
      </c>
    </row>
    <row r="150">
      <c r="B150">
        <f>IF($A150="","",XLOOKUP($A150,Clients!$A:$A,Clients!$D:$D)&amp;" "&amp;XLOOKUP($A150,Clients!$A:$A,Clients!$E:$E))</f>
        <v/>
      </c>
      <c r="C150">
        <f>IF($A150="","",DATEDIF(XLOOKUP($A150,Clients!$A:$A,Clients!$F:$F),VAL_DATE,"Y"))</f>
        <v/>
      </c>
      <c r="D150">
        <f>IF(OR($A150="",E150=""),"",E150-C150)</f>
        <v/>
      </c>
      <c r="E150">
        <f>IF($A150="","",XLOOKUP($A150,RetirementPlan!$B:$B,RetirementPlan!$C:$C,""))</f>
        <v/>
      </c>
      <c r="F150" s="9">
        <f>IF(OR($A150="",D150=""),"",FV(IF(IFERROR(XLOOKUP($A150,RetirementPlan!$B:$B,RetirementPlan!$K:$K,""),"")="",GROWTH,IFERROR(XLOOKUP($A150,RetirementPlan!$B:$B,RetirementPlan!$K:$K,""),"")),D150,-N(XLOOKUP($A150,RetirementPlan!$B:$B,RetirementPlan!$I:$I,0)),-SUMIFS(Assets!$J:$J,Assets!$B:$B,$A150,Assets!$R:$R,"Yes"),0))</f>
        <v/>
      </c>
      <c r="G150" s="9">
        <f>IF(OR($A150="",I150=""),"",MAX(0,(I150-J150)/IF(IFERROR(XLOOKUP($A150,RetirementPlan!$B:$B,RetirementPlan!$M:$M,""),"")="",SWR,IFERROR(XLOOKUP($A150,RetirementPlan!$B:$B,RetirementPlan!$M:$M,""),""))))</f>
        <v/>
      </c>
      <c r="H150" s="9">
        <f>IF(OR($A150="",F150="",G150=""),"",F150-G150)</f>
        <v/>
      </c>
      <c r="I150" s="9">
        <f>IF($A150="","",XLOOKUP($A150,RetirementPlan!$B:$B,RetirementPlan!$E:$E,""))</f>
        <v/>
      </c>
      <c r="J150" s="9">
        <f>IF($A150="","",N(XLOOKUP($A150,RetirementPlan!$B:$B,RetirementPlan!$G:$G,0))+N(XLOOKUP($A150,RetirementPlan!$B:$B,RetirementPlan!$H:$H,0)))</f>
        <v/>
      </c>
      <c r="K150">
        <f>IF($A150="","",IF(NOT(ISBLANK(XLOOKUP($A150,RetirementPlan!$B:$B,RetirementPlan!$N:$N,""))),XLOOKUP($A150,RetirementPlan!$B:$B,RetirementPlan!$N:$N,""),LET(cid,$A150,c,FILTER(LocationPlan!$D:$D,LocationPlan!$C:$C=cid),p,FILTER(LocationPlan!$E:$E,LocationPlan!$C:$C=cid),IFERROR(INDEX(c,MATCH(MAX(p),p,0)),""))))</f>
        <v/>
      </c>
    </row>
    <row r="151">
      <c r="B151">
        <f>IF($A151="","",XLOOKUP($A151,Clients!$A:$A,Clients!$D:$D)&amp;" "&amp;XLOOKUP($A151,Clients!$A:$A,Clients!$E:$E))</f>
        <v/>
      </c>
      <c r="C151">
        <f>IF($A151="","",DATEDIF(XLOOKUP($A151,Clients!$A:$A,Clients!$F:$F),VAL_DATE,"Y"))</f>
        <v/>
      </c>
      <c r="D151">
        <f>IF(OR($A151="",E151=""),"",E151-C151)</f>
        <v/>
      </c>
      <c r="E151">
        <f>IF($A151="","",XLOOKUP($A151,RetirementPlan!$B:$B,RetirementPlan!$C:$C,""))</f>
        <v/>
      </c>
      <c r="F151" s="9">
        <f>IF(OR($A151="",D151=""),"",FV(IF(IFERROR(XLOOKUP($A151,RetirementPlan!$B:$B,RetirementPlan!$K:$K,""),"")="",GROWTH,IFERROR(XLOOKUP($A151,RetirementPlan!$B:$B,RetirementPlan!$K:$K,""),"")),D151,-N(XLOOKUP($A151,RetirementPlan!$B:$B,RetirementPlan!$I:$I,0)),-SUMIFS(Assets!$J:$J,Assets!$B:$B,$A151,Assets!$R:$R,"Yes"),0))</f>
        <v/>
      </c>
      <c r="G151" s="9">
        <f>IF(OR($A151="",I151=""),"",MAX(0,(I151-J151)/IF(IFERROR(XLOOKUP($A151,RetirementPlan!$B:$B,RetirementPlan!$M:$M,""),"")="",SWR,IFERROR(XLOOKUP($A151,RetirementPlan!$B:$B,RetirementPlan!$M:$M,""),""))))</f>
        <v/>
      </c>
      <c r="H151" s="9">
        <f>IF(OR($A151="",F151="",G151=""),"",F151-G151)</f>
        <v/>
      </c>
      <c r="I151" s="9">
        <f>IF($A151="","",XLOOKUP($A151,RetirementPlan!$B:$B,RetirementPlan!$E:$E,""))</f>
        <v/>
      </c>
      <c r="J151" s="9">
        <f>IF($A151="","",N(XLOOKUP($A151,RetirementPlan!$B:$B,RetirementPlan!$G:$G,0))+N(XLOOKUP($A151,RetirementPlan!$B:$B,RetirementPlan!$H:$H,0)))</f>
        <v/>
      </c>
      <c r="K151">
        <f>IF($A151="","",IF(NOT(ISBLANK(XLOOKUP($A151,RetirementPlan!$B:$B,RetirementPlan!$N:$N,""))),XLOOKUP($A151,RetirementPlan!$B:$B,RetirementPlan!$N:$N,""),LET(cid,$A151,c,FILTER(LocationPlan!$D:$D,LocationPlan!$C:$C=cid),p,FILTER(LocationPlan!$E:$E,LocationPlan!$C:$C=cid),IFERROR(INDEX(c,MATCH(MAX(p),p,0)),""))))</f>
        <v/>
      </c>
    </row>
    <row r="152">
      <c r="B152">
        <f>IF($A152="","",XLOOKUP($A152,Clients!$A:$A,Clients!$D:$D)&amp;" "&amp;XLOOKUP($A152,Clients!$A:$A,Clients!$E:$E))</f>
        <v/>
      </c>
      <c r="C152">
        <f>IF($A152="","",DATEDIF(XLOOKUP($A152,Clients!$A:$A,Clients!$F:$F),VAL_DATE,"Y"))</f>
        <v/>
      </c>
      <c r="D152">
        <f>IF(OR($A152="",E152=""),"",E152-C152)</f>
        <v/>
      </c>
      <c r="E152">
        <f>IF($A152="","",XLOOKUP($A152,RetirementPlan!$B:$B,RetirementPlan!$C:$C,""))</f>
        <v/>
      </c>
      <c r="F152" s="9">
        <f>IF(OR($A152="",D152=""),"",FV(IF(IFERROR(XLOOKUP($A152,RetirementPlan!$B:$B,RetirementPlan!$K:$K,""),"")="",GROWTH,IFERROR(XLOOKUP($A152,RetirementPlan!$B:$B,RetirementPlan!$K:$K,""),"")),D152,-N(XLOOKUP($A152,RetirementPlan!$B:$B,RetirementPlan!$I:$I,0)),-SUMIFS(Assets!$J:$J,Assets!$B:$B,$A152,Assets!$R:$R,"Yes"),0))</f>
        <v/>
      </c>
      <c r="G152" s="9">
        <f>IF(OR($A152="",I152=""),"",MAX(0,(I152-J152)/IF(IFERROR(XLOOKUP($A152,RetirementPlan!$B:$B,RetirementPlan!$M:$M,""),"")="",SWR,IFERROR(XLOOKUP($A152,RetirementPlan!$B:$B,RetirementPlan!$M:$M,""),""))))</f>
        <v/>
      </c>
      <c r="H152" s="9">
        <f>IF(OR($A152="",F152="",G152=""),"",F152-G152)</f>
        <v/>
      </c>
      <c r="I152" s="9">
        <f>IF($A152="","",XLOOKUP($A152,RetirementPlan!$B:$B,RetirementPlan!$E:$E,""))</f>
        <v/>
      </c>
      <c r="J152" s="9">
        <f>IF($A152="","",N(XLOOKUP($A152,RetirementPlan!$B:$B,RetirementPlan!$G:$G,0))+N(XLOOKUP($A152,RetirementPlan!$B:$B,RetirementPlan!$H:$H,0)))</f>
        <v/>
      </c>
      <c r="K152">
        <f>IF($A152="","",IF(NOT(ISBLANK(XLOOKUP($A152,RetirementPlan!$B:$B,RetirementPlan!$N:$N,""))),XLOOKUP($A152,RetirementPlan!$B:$B,RetirementPlan!$N:$N,""),LET(cid,$A152,c,FILTER(LocationPlan!$D:$D,LocationPlan!$C:$C=cid),p,FILTER(LocationPlan!$E:$E,LocationPlan!$C:$C=cid),IFERROR(INDEX(c,MATCH(MAX(p),p,0)),""))))</f>
        <v/>
      </c>
    </row>
    <row r="153">
      <c r="B153">
        <f>IF($A153="","",XLOOKUP($A153,Clients!$A:$A,Clients!$D:$D)&amp;" "&amp;XLOOKUP($A153,Clients!$A:$A,Clients!$E:$E))</f>
        <v/>
      </c>
      <c r="C153">
        <f>IF($A153="","",DATEDIF(XLOOKUP($A153,Clients!$A:$A,Clients!$F:$F),VAL_DATE,"Y"))</f>
        <v/>
      </c>
      <c r="D153">
        <f>IF(OR($A153="",E153=""),"",E153-C153)</f>
        <v/>
      </c>
      <c r="E153">
        <f>IF($A153="","",XLOOKUP($A153,RetirementPlan!$B:$B,RetirementPlan!$C:$C,""))</f>
        <v/>
      </c>
      <c r="F153" s="9">
        <f>IF(OR($A153="",D153=""),"",FV(IF(IFERROR(XLOOKUP($A153,RetirementPlan!$B:$B,RetirementPlan!$K:$K,""),"")="",GROWTH,IFERROR(XLOOKUP($A153,RetirementPlan!$B:$B,RetirementPlan!$K:$K,""),"")),D153,-N(XLOOKUP($A153,RetirementPlan!$B:$B,RetirementPlan!$I:$I,0)),-SUMIFS(Assets!$J:$J,Assets!$B:$B,$A153,Assets!$R:$R,"Yes"),0))</f>
        <v/>
      </c>
      <c r="G153" s="9">
        <f>IF(OR($A153="",I153=""),"",MAX(0,(I153-J153)/IF(IFERROR(XLOOKUP($A153,RetirementPlan!$B:$B,RetirementPlan!$M:$M,""),"")="",SWR,IFERROR(XLOOKUP($A153,RetirementPlan!$B:$B,RetirementPlan!$M:$M,""),""))))</f>
        <v/>
      </c>
      <c r="H153" s="9">
        <f>IF(OR($A153="",F153="",G153=""),"",F153-G153)</f>
        <v/>
      </c>
      <c r="I153" s="9">
        <f>IF($A153="","",XLOOKUP($A153,RetirementPlan!$B:$B,RetirementPlan!$E:$E,""))</f>
        <v/>
      </c>
      <c r="J153" s="9">
        <f>IF($A153="","",N(XLOOKUP($A153,RetirementPlan!$B:$B,RetirementPlan!$G:$G,0))+N(XLOOKUP($A153,RetirementPlan!$B:$B,RetirementPlan!$H:$H,0)))</f>
        <v/>
      </c>
      <c r="K153">
        <f>IF($A153="","",IF(NOT(ISBLANK(XLOOKUP($A153,RetirementPlan!$B:$B,RetirementPlan!$N:$N,""))),XLOOKUP($A153,RetirementPlan!$B:$B,RetirementPlan!$N:$N,""),LET(cid,$A153,c,FILTER(LocationPlan!$D:$D,LocationPlan!$C:$C=cid),p,FILTER(LocationPlan!$E:$E,LocationPlan!$C:$C=cid),IFERROR(INDEX(c,MATCH(MAX(p),p,0)),""))))</f>
        <v/>
      </c>
    </row>
    <row r="154">
      <c r="B154">
        <f>IF($A154="","",XLOOKUP($A154,Clients!$A:$A,Clients!$D:$D)&amp;" "&amp;XLOOKUP($A154,Clients!$A:$A,Clients!$E:$E))</f>
        <v/>
      </c>
      <c r="C154">
        <f>IF($A154="","",DATEDIF(XLOOKUP($A154,Clients!$A:$A,Clients!$F:$F),VAL_DATE,"Y"))</f>
        <v/>
      </c>
      <c r="D154">
        <f>IF(OR($A154="",E154=""),"",E154-C154)</f>
        <v/>
      </c>
      <c r="E154">
        <f>IF($A154="","",XLOOKUP($A154,RetirementPlan!$B:$B,RetirementPlan!$C:$C,""))</f>
        <v/>
      </c>
      <c r="F154" s="9">
        <f>IF(OR($A154="",D154=""),"",FV(IF(IFERROR(XLOOKUP($A154,RetirementPlan!$B:$B,RetirementPlan!$K:$K,""),"")="",GROWTH,IFERROR(XLOOKUP($A154,RetirementPlan!$B:$B,RetirementPlan!$K:$K,""),"")),D154,-N(XLOOKUP($A154,RetirementPlan!$B:$B,RetirementPlan!$I:$I,0)),-SUMIFS(Assets!$J:$J,Assets!$B:$B,$A154,Assets!$R:$R,"Yes"),0))</f>
        <v/>
      </c>
      <c r="G154" s="9">
        <f>IF(OR($A154="",I154=""),"",MAX(0,(I154-J154)/IF(IFERROR(XLOOKUP($A154,RetirementPlan!$B:$B,RetirementPlan!$M:$M,""),"")="",SWR,IFERROR(XLOOKUP($A154,RetirementPlan!$B:$B,RetirementPlan!$M:$M,""),""))))</f>
        <v/>
      </c>
      <c r="H154" s="9">
        <f>IF(OR($A154="",F154="",G154=""),"",F154-G154)</f>
        <v/>
      </c>
      <c r="I154" s="9">
        <f>IF($A154="","",XLOOKUP($A154,RetirementPlan!$B:$B,RetirementPlan!$E:$E,""))</f>
        <v/>
      </c>
      <c r="J154" s="9">
        <f>IF($A154="","",N(XLOOKUP($A154,RetirementPlan!$B:$B,RetirementPlan!$G:$G,0))+N(XLOOKUP($A154,RetirementPlan!$B:$B,RetirementPlan!$H:$H,0)))</f>
        <v/>
      </c>
      <c r="K154">
        <f>IF($A154="","",IF(NOT(ISBLANK(XLOOKUP($A154,RetirementPlan!$B:$B,RetirementPlan!$N:$N,""))),XLOOKUP($A154,RetirementPlan!$B:$B,RetirementPlan!$N:$N,""),LET(cid,$A154,c,FILTER(LocationPlan!$D:$D,LocationPlan!$C:$C=cid),p,FILTER(LocationPlan!$E:$E,LocationPlan!$C:$C=cid),IFERROR(INDEX(c,MATCH(MAX(p),p,0)),""))))</f>
        <v/>
      </c>
    </row>
    <row r="155">
      <c r="B155">
        <f>IF($A155="","",XLOOKUP($A155,Clients!$A:$A,Clients!$D:$D)&amp;" "&amp;XLOOKUP($A155,Clients!$A:$A,Clients!$E:$E))</f>
        <v/>
      </c>
      <c r="C155">
        <f>IF($A155="","",DATEDIF(XLOOKUP($A155,Clients!$A:$A,Clients!$F:$F),VAL_DATE,"Y"))</f>
        <v/>
      </c>
      <c r="D155">
        <f>IF(OR($A155="",E155=""),"",E155-C155)</f>
        <v/>
      </c>
      <c r="E155">
        <f>IF($A155="","",XLOOKUP($A155,RetirementPlan!$B:$B,RetirementPlan!$C:$C,""))</f>
        <v/>
      </c>
      <c r="F155" s="9">
        <f>IF(OR($A155="",D155=""),"",FV(IF(IFERROR(XLOOKUP($A155,RetirementPlan!$B:$B,RetirementPlan!$K:$K,""),"")="",GROWTH,IFERROR(XLOOKUP($A155,RetirementPlan!$B:$B,RetirementPlan!$K:$K,""),"")),D155,-N(XLOOKUP($A155,RetirementPlan!$B:$B,RetirementPlan!$I:$I,0)),-SUMIFS(Assets!$J:$J,Assets!$B:$B,$A155,Assets!$R:$R,"Yes"),0))</f>
        <v/>
      </c>
      <c r="G155" s="9">
        <f>IF(OR($A155="",I155=""),"",MAX(0,(I155-J155)/IF(IFERROR(XLOOKUP($A155,RetirementPlan!$B:$B,RetirementPlan!$M:$M,""),"")="",SWR,IFERROR(XLOOKUP($A155,RetirementPlan!$B:$B,RetirementPlan!$M:$M,""),""))))</f>
        <v/>
      </c>
      <c r="H155" s="9">
        <f>IF(OR($A155="",F155="",G155=""),"",F155-G155)</f>
        <v/>
      </c>
      <c r="I155" s="9">
        <f>IF($A155="","",XLOOKUP($A155,RetirementPlan!$B:$B,RetirementPlan!$E:$E,""))</f>
        <v/>
      </c>
      <c r="J155" s="9">
        <f>IF($A155="","",N(XLOOKUP($A155,RetirementPlan!$B:$B,RetirementPlan!$G:$G,0))+N(XLOOKUP($A155,RetirementPlan!$B:$B,RetirementPlan!$H:$H,0)))</f>
        <v/>
      </c>
      <c r="K155">
        <f>IF($A155="","",IF(NOT(ISBLANK(XLOOKUP($A155,RetirementPlan!$B:$B,RetirementPlan!$N:$N,""))),XLOOKUP($A155,RetirementPlan!$B:$B,RetirementPlan!$N:$N,""),LET(cid,$A155,c,FILTER(LocationPlan!$D:$D,LocationPlan!$C:$C=cid),p,FILTER(LocationPlan!$E:$E,LocationPlan!$C:$C=cid),IFERROR(INDEX(c,MATCH(MAX(p),p,0)),""))))</f>
        <v/>
      </c>
    </row>
    <row r="156">
      <c r="B156">
        <f>IF($A156="","",XLOOKUP($A156,Clients!$A:$A,Clients!$D:$D)&amp;" "&amp;XLOOKUP($A156,Clients!$A:$A,Clients!$E:$E))</f>
        <v/>
      </c>
      <c r="C156">
        <f>IF($A156="","",DATEDIF(XLOOKUP($A156,Clients!$A:$A,Clients!$F:$F),VAL_DATE,"Y"))</f>
        <v/>
      </c>
      <c r="D156">
        <f>IF(OR($A156="",E156=""),"",E156-C156)</f>
        <v/>
      </c>
      <c r="E156">
        <f>IF($A156="","",XLOOKUP($A156,RetirementPlan!$B:$B,RetirementPlan!$C:$C,""))</f>
        <v/>
      </c>
      <c r="F156" s="9">
        <f>IF(OR($A156="",D156=""),"",FV(IF(IFERROR(XLOOKUP($A156,RetirementPlan!$B:$B,RetirementPlan!$K:$K,""),"")="",GROWTH,IFERROR(XLOOKUP($A156,RetirementPlan!$B:$B,RetirementPlan!$K:$K,""),"")),D156,-N(XLOOKUP($A156,RetirementPlan!$B:$B,RetirementPlan!$I:$I,0)),-SUMIFS(Assets!$J:$J,Assets!$B:$B,$A156,Assets!$R:$R,"Yes"),0))</f>
        <v/>
      </c>
      <c r="G156" s="9">
        <f>IF(OR($A156="",I156=""),"",MAX(0,(I156-J156)/IF(IFERROR(XLOOKUP($A156,RetirementPlan!$B:$B,RetirementPlan!$M:$M,""),"")="",SWR,IFERROR(XLOOKUP($A156,RetirementPlan!$B:$B,RetirementPlan!$M:$M,""),""))))</f>
        <v/>
      </c>
      <c r="H156" s="9">
        <f>IF(OR($A156="",F156="",G156=""),"",F156-G156)</f>
        <v/>
      </c>
      <c r="I156" s="9">
        <f>IF($A156="","",XLOOKUP($A156,RetirementPlan!$B:$B,RetirementPlan!$E:$E,""))</f>
        <v/>
      </c>
      <c r="J156" s="9">
        <f>IF($A156="","",N(XLOOKUP($A156,RetirementPlan!$B:$B,RetirementPlan!$G:$G,0))+N(XLOOKUP($A156,RetirementPlan!$B:$B,RetirementPlan!$H:$H,0)))</f>
        <v/>
      </c>
      <c r="K156">
        <f>IF($A156="","",IF(NOT(ISBLANK(XLOOKUP($A156,RetirementPlan!$B:$B,RetirementPlan!$N:$N,""))),XLOOKUP($A156,RetirementPlan!$B:$B,RetirementPlan!$N:$N,""),LET(cid,$A156,c,FILTER(LocationPlan!$D:$D,LocationPlan!$C:$C=cid),p,FILTER(LocationPlan!$E:$E,LocationPlan!$C:$C=cid),IFERROR(INDEX(c,MATCH(MAX(p),p,0)),""))))</f>
        <v/>
      </c>
    </row>
    <row r="157">
      <c r="B157">
        <f>IF($A157="","",XLOOKUP($A157,Clients!$A:$A,Clients!$D:$D)&amp;" "&amp;XLOOKUP($A157,Clients!$A:$A,Clients!$E:$E))</f>
        <v/>
      </c>
      <c r="C157">
        <f>IF($A157="","",DATEDIF(XLOOKUP($A157,Clients!$A:$A,Clients!$F:$F),VAL_DATE,"Y"))</f>
        <v/>
      </c>
      <c r="D157">
        <f>IF(OR($A157="",E157=""),"",E157-C157)</f>
        <v/>
      </c>
      <c r="E157">
        <f>IF($A157="","",XLOOKUP($A157,RetirementPlan!$B:$B,RetirementPlan!$C:$C,""))</f>
        <v/>
      </c>
      <c r="F157" s="9">
        <f>IF(OR($A157="",D157=""),"",FV(IF(IFERROR(XLOOKUP($A157,RetirementPlan!$B:$B,RetirementPlan!$K:$K,""),"")="",GROWTH,IFERROR(XLOOKUP($A157,RetirementPlan!$B:$B,RetirementPlan!$K:$K,""),"")),D157,-N(XLOOKUP($A157,RetirementPlan!$B:$B,RetirementPlan!$I:$I,0)),-SUMIFS(Assets!$J:$J,Assets!$B:$B,$A157,Assets!$R:$R,"Yes"),0))</f>
        <v/>
      </c>
      <c r="G157" s="9">
        <f>IF(OR($A157="",I157=""),"",MAX(0,(I157-J157)/IF(IFERROR(XLOOKUP($A157,RetirementPlan!$B:$B,RetirementPlan!$M:$M,""),"")="",SWR,IFERROR(XLOOKUP($A157,RetirementPlan!$B:$B,RetirementPlan!$M:$M,""),""))))</f>
        <v/>
      </c>
      <c r="H157" s="9">
        <f>IF(OR($A157="",F157="",G157=""),"",F157-G157)</f>
        <v/>
      </c>
      <c r="I157" s="9">
        <f>IF($A157="","",XLOOKUP($A157,RetirementPlan!$B:$B,RetirementPlan!$E:$E,""))</f>
        <v/>
      </c>
      <c r="J157" s="9">
        <f>IF($A157="","",N(XLOOKUP($A157,RetirementPlan!$B:$B,RetirementPlan!$G:$G,0))+N(XLOOKUP($A157,RetirementPlan!$B:$B,RetirementPlan!$H:$H,0)))</f>
        <v/>
      </c>
      <c r="K157">
        <f>IF($A157="","",IF(NOT(ISBLANK(XLOOKUP($A157,RetirementPlan!$B:$B,RetirementPlan!$N:$N,""))),XLOOKUP($A157,RetirementPlan!$B:$B,RetirementPlan!$N:$N,""),LET(cid,$A157,c,FILTER(LocationPlan!$D:$D,LocationPlan!$C:$C=cid),p,FILTER(LocationPlan!$E:$E,LocationPlan!$C:$C=cid),IFERROR(INDEX(c,MATCH(MAX(p),p,0)),""))))</f>
        <v/>
      </c>
    </row>
    <row r="158">
      <c r="B158">
        <f>IF($A158="","",XLOOKUP($A158,Clients!$A:$A,Clients!$D:$D)&amp;" "&amp;XLOOKUP($A158,Clients!$A:$A,Clients!$E:$E))</f>
        <v/>
      </c>
      <c r="C158">
        <f>IF($A158="","",DATEDIF(XLOOKUP($A158,Clients!$A:$A,Clients!$F:$F),VAL_DATE,"Y"))</f>
        <v/>
      </c>
      <c r="D158">
        <f>IF(OR($A158="",E158=""),"",E158-C158)</f>
        <v/>
      </c>
      <c r="E158">
        <f>IF($A158="","",XLOOKUP($A158,RetirementPlan!$B:$B,RetirementPlan!$C:$C,""))</f>
        <v/>
      </c>
      <c r="F158" s="9">
        <f>IF(OR($A158="",D158=""),"",FV(IF(IFERROR(XLOOKUP($A158,RetirementPlan!$B:$B,RetirementPlan!$K:$K,""),"")="",GROWTH,IFERROR(XLOOKUP($A158,RetirementPlan!$B:$B,RetirementPlan!$K:$K,""),"")),D158,-N(XLOOKUP($A158,RetirementPlan!$B:$B,RetirementPlan!$I:$I,0)),-SUMIFS(Assets!$J:$J,Assets!$B:$B,$A158,Assets!$R:$R,"Yes"),0))</f>
        <v/>
      </c>
      <c r="G158" s="9">
        <f>IF(OR($A158="",I158=""),"",MAX(0,(I158-J158)/IF(IFERROR(XLOOKUP($A158,RetirementPlan!$B:$B,RetirementPlan!$M:$M,""),"")="",SWR,IFERROR(XLOOKUP($A158,RetirementPlan!$B:$B,RetirementPlan!$M:$M,""),""))))</f>
        <v/>
      </c>
      <c r="H158" s="9">
        <f>IF(OR($A158="",F158="",G158=""),"",F158-G158)</f>
        <v/>
      </c>
      <c r="I158" s="9">
        <f>IF($A158="","",XLOOKUP($A158,RetirementPlan!$B:$B,RetirementPlan!$E:$E,""))</f>
        <v/>
      </c>
      <c r="J158" s="9">
        <f>IF($A158="","",N(XLOOKUP($A158,RetirementPlan!$B:$B,RetirementPlan!$G:$G,0))+N(XLOOKUP($A158,RetirementPlan!$B:$B,RetirementPlan!$H:$H,0)))</f>
        <v/>
      </c>
      <c r="K158">
        <f>IF($A158="","",IF(NOT(ISBLANK(XLOOKUP($A158,RetirementPlan!$B:$B,RetirementPlan!$N:$N,""))),XLOOKUP($A158,RetirementPlan!$B:$B,RetirementPlan!$N:$N,""),LET(cid,$A158,c,FILTER(LocationPlan!$D:$D,LocationPlan!$C:$C=cid),p,FILTER(LocationPlan!$E:$E,LocationPlan!$C:$C=cid),IFERROR(INDEX(c,MATCH(MAX(p),p,0)),""))))</f>
        <v/>
      </c>
    </row>
    <row r="159">
      <c r="B159">
        <f>IF($A159="","",XLOOKUP($A159,Clients!$A:$A,Clients!$D:$D)&amp;" "&amp;XLOOKUP($A159,Clients!$A:$A,Clients!$E:$E))</f>
        <v/>
      </c>
      <c r="C159">
        <f>IF($A159="","",DATEDIF(XLOOKUP($A159,Clients!$A:$A,Clients!$F:$F),VAL_DATE,"Y"))</f>
        <v/>
      </c>
      <c r="D159">
        <f>IF(OR($A159="",E159=""),"",E159-C159)</f>
        <v/>
      </c>
      <c r="E159">
        <f>IF($A159="","",XLOOKUP($A159,RetirementPlan!$B:$B,RetirementPlan!$C:$C,""))</f>
        <v/>
      </c>
      <c r="F159" s="9">
        <f>IF(OR($A159="",D159=""),"",FV(IF(IFERROR(XLOOKUP($A159,RetirementPlan!$B:$B,RetirementPlan!$K:$K,""),"")="",GROWTH,IFERROR(XLOOKUP($A159,RetirementPlan!$B:$B,RetirementPlan!$K:$K,""),"")),D159,-N(XLOOKUP($A159,RetirementPlan!$B:$B,RetirementPlan!$I:$I,0)),-SUMIFS(Assets!$J:$J,Assets!$B:$B,$A159,Assets!$R:$R,"Yes"),0))</f>
        <v/>
      </c>
      <c r="G159" s="9">
        <f>IF(OR($A159="",I159=""),"",MAX(0,(I159-J159)/IF(IFERROR(XLOOKUP($A159,RetirementPlan!$B:$B,RetirementPlan!$M:$M,""),"")="",SWR,IFERROR(XLOOKUP($A159,RetirementPlan!$B:$B,RetirementPlan!$M:$M,""),""))))</f>
        <v/>
      </c>
      <c r="H159" s="9">
        <f>IF(OR($A159="",F159="",G159=""),"",F159-G159)</f>
        <v/>
      </c>
      <c r="I159" s="9">
        <f>IF($A159="","",XLOOKUP($A159,RetirementPlan!$B:$B,RetirementPlan!$E:$E,""))</f>
        <v/>
      </c>
      <c r="J159" s="9">
        <f>IF($A159="","",N(XLOOKUP($A159,RetirementPlan!$B:$B,RetirementPlan!$G:$G,0))+N(XLOOKUP($A159,RetirementPlan!$B:$B,RetirementPlan!$H:$H,0)))</f>
        <v/>
      </c>
      <c r="K159">
        <f>IF($A159="","",IF(NOT(ISBLANK(XLOOKUP($A159,RetirementPlan!$B:$B,RetirementPlan!$N:$N,""))),XLOOKUP($A159,RetirementPlan!$B:$B,RetirementPlan!$N:$N,""),LET(cid,$A159,c,FILTER(LocationPlan!$D:$D,LocationPlan!$C:$C=cid),p,FILTER(LocationPlan!$E:$E,LocationPlan!$C:$C=cid),IFERROR(INDEX(c,MATCH(MAX(p),p,0)),""))))</f>
        <v/>
      </c>
    </row>
    <row r="160">
      <c r="B160">
        <f>IF($A160="","",XLOOKUP($A160,Clients!$A:$A,Clients!$D:$D)&amp;" "&amp;XLOOKUP($A160,Clients!$A:$A,Clients!$E:$E))</f>
        <v/>
      </c>
      <c r="C160">
        <f>IF($A160="","",DATEDIF(XLOOKUP($A160,Clients!$A:$A,Clients!$F:$F),VAL_DATE,"Y"))</f>
        <v/>
      </c>
      <c r="D160">
        <f>IF(OR($A160="",E160=""),"",E160-C160)</f>
        <v/>
      </c>
      <c r="E160">
        <f>IF($A160="","",XLOOKUP($A160,RetirementPlan!$B:$B,RetirementPlan!$C:$C,""))</f>
        <v/>
      </c>
      <c r="F160" s="9">
        <f>IF(OR($A160="",D160=""),"",FV(IF(IFERROR(XLOOKUP($A160,RetirementPlan!$B:$B,RetirementPlan!$K:$K,""),"")="",GROWTH,IFERROR(XLOOKUP($A160,RetirementPlan!$B:$B,RetirementPlan!$K:$K,""),"")),D160,-N(XLOOKUP($A160,RetirementPlan!$B:$B,RetirementPlan!$I:$I,0)),-SUMIFS(Assets!$J:$J,Assets!$B:$B,$A160,Assets!$R:$R,"Yes"),0))</f>
        <v/>
      </c>
      <c r="G160" s="9">
        <f>IF(OR($A160="",I160=""),"",MAX(0,(I160-J160)/IF(IFERROR(XLOOKUP($A160,RetirementPlan!$B:$B,RetirementPlan!$M:$M,""),"")="",SWR,IFERROR(XLOOKUP($A160,RetirementPlan!$B:$B,RetirementPlan!$M:$M,""),""))))</f>
        <v/>
      </c>
      <c r="H160" s="9">
        <f>IF(OR($A160="",F160="",G160=""),"",F160-G160)</f>
        <v/>
      </c>
      <c r="I160" s="9">
        <f>IF($A160="","",XLOOKUP($A160,RetirementPlan!$B:$B,RetirementPlan!$E:$E,""))</f>
        <v/>
      </c>
      <c r="J160" s="9">
        <f>IF($A160="","",N(XLOOKUP($A160,RetirementPlan!$B:$B,RetirementPlan!$G:$G,0))+N(XLOOKUP($A160,RetirementPlan!$B:$B,RetirementPlan!$H:$H,0)))</f>
        <v/>
      </c>
      <c r="K160">
        <f>IF($A160="","",IF(NOT(ISBLANK(XLOOKUP($A160,RetirementPlan!$B:$B,RetirementPlan!$N:$N,""))),XLOOKUP($A160,RetirementPlan!$B:$B,RetirementPlan!$N:$N,""),LET(cid,$A160,c,FILTER(LocationPlan!$D:$D,LocationPlan!$C:$C=cid),p,FILTER(LocationPlan!$E:$E,LocationPlan!$C:$C=cid),IFERROR(INDEX(c,MATCH(MAX(p),p,0)),""))))</f>
        <v/>
      </c>
    </row>
    <row r="161">
      <c r="B161">
        <f>IF($A161="","",XLOOKUP($A161,Clients!$A:$A,Clients!$D:$D)&amp;" "&amp;XLOOKUP($A161,Clients!$A:$A,Clients!$E:$E))</f>
        <v/>
      </c>
      <c r="C161">
        <f>IF($A161="","",DATEDIF(XLOOKUP($A161,Clients!$A:$A,Clients!$F:$F),VAL_DATE,"Y"))</f>
        <v/>
      </c>
      <c r="D161">
        <f>IF(OR($A161="",E161=""),"",E161-C161)</f>
        <v/>
      </c>
      <c r="E161">
        <f>IF($A161="","",XLOOKUP($A161,RetirementPlan!$B:$B,RetirementPlan!$C:$C,""))</f>
        <v/>
      </c>
      <c r="F161" s="9">
        <f>IF(OR($A161="",D161=""),"",FV(IF(IFERROR(XLOOKUP($A161,RetirementPlan!$B:$B,RetirementPlan!$K:$K,""),"")="",GROWTH,IFERROR(XLOOKUP($A161,RetirementPlan!$B:$B,RetirementPlan!$K:$K,""),"")),D161,-N(XLOOKUP($A161,RetirementPlan!$B:$B,RetirementPlan!$I:$I,0)),-SUMIFS(Assets!$J:$J,Assets!$B:$B,$A161,Assets!$R:$R,"Yes"),0))</f>
        <v/>
      </c>
      <c r="G161" s="9">
        <f>IF(OR($A161="",I161=""),"",MAX(0,(I161-J161)/IF(IFERROR(XLOOKUP($A161,RetirementPlan!$B:$B,RetirementPlan!$M:$M,""),"")="",SWR,IFERROR(XLOOKUP($A161,RetirementPlan!$B:$B,RetirementPlan!$M:$M,""),""))))</f>
        <v/>
      </c>
      <c r="H161" s="9">
        <f>IF(OR($A161="",F161="",G161=""),"",F161-G161)</f>
        <v/>
      </c>
      <c r="I161" s="9">
        <f>IF($A161="","",XLOOKUP($A161,RetirementPlan!$B:$B,RetirementPlan!$E:$E,""))</f>
        <v/>
      </c>
      <c r="J161" s="9">
        <f>IF($A161="","",N(XLOOKUP($A161,RetirementPlan!$B:$B,RetirementPlan!$G:$G,0))+N(XLOOKUP($A161,RetirementPlan!$B:$B,RetirementPlan!$H:$H,0)))</f>
        <v/>
      </c>
      <c r="K161">
        <f>IF($A161="","",IF(NOT(ISBLANK(XLOOKUP($A161,RetirementPlan!$B:$B,RetirementPlan!$N:$N,""))),XLOOKUP($A161,RetirementPlan!$B:$B,RetirementPlan!$N:$N,""),LET(cid,$A161,c,FILTER(LocationPlan!$D:$D,LocationPlan!$C:$C=cid),p,FILTER(LocationPlan!$E:$E,LocationPlan!$C:$C=cid),IFERROR(INDEX(c,MATCH(MAX(p),p,0)),""))))</f>
        <v/>
      </c>
    </row>
    <row r="162">
      <c r="B162">
        <f>IF($A162="","",XLOOKUP($A162,Clients!$A:$A,Clients!$D:$D)&amp;" "&amp;XLOOKUP($A162,Clients!$A:$A,Clients!$E:$E))</f>
        <v/>
      </c>
      <c r="C162">
        <f>IF($A162="","",DATEDIF(XLOOKUP($A162,Clients!$A:$A,Clients!$F:$F),VAL_DATE,"Y"))</f>
        <v/>
      </c>
      <c r="D162">
        <f>IF(OR($A162="",E162=""),"",E162-C162)</f>
        <v/>
      </c>
      <c r="E162">
        <f>IF($A162="","",XLOOKUP($A162,RetirementPlan!$B:$B,RetirementPlan!$C:$C,""))</f>
        <v/>
      </c>
      <c r="F162" s="9">
        <f>IF(OR($A162="",D162=""),"",FV(IF(IFERROR(XLOOKUP($A162,RetirementPlan!$B:$B,RetirementPlan!$K:$K,""),"")="",GROWTH,IFERROR(XLOOKUP($A162,RetirementPlan!$B:$B,RetirementPlan!$K:$K,""),"")),D162,-N(XLOOKUP($A162,RetirementPlan!$B:$B,RetirementPlan!$I:$I,0)),-SUMIFS(Assets!$J:$J,Assets!$B:$B,$A162,Assets!$R:$R,"Yes"),0))</f>
        <v/>
      </c>
      <c r="G162" s="9">
        <f>IF(OR($A162="",I162=""),"",MAX(0,(I162-J162)/IF(IFERROR(XLOOKUP($A162,RetirementPlan!$B:$B,RetirementPlan!$M:$M,""),"")="",SWR,IFERROR(XLOOKUP($A162,RetirementPlan!$B:$B,RetirementPlan!$M:$M,""),""))))</f>
        <v/>
      </c>
      <c r="H162" s="9">
        <f>IF(OR($A162="",F162="",G162=""),"",F162-G162)</f>
        <v/>
      </c>
      <c r="I162" s="9">
        <f>IF($A162="","",XLOOKUP($A162,RetirementPlan!$B:$B,RetirementPlan!$E:$E,""))</f>
        <v/>
      </c>
      <c r="J162" s="9">
        <f>IF($A162="","",N(XLOOKUP($A162,RetirementPlan!$B:$B,RetirementPlan!$G:$G,0))+N(XLOOKUP($A162,RetirementPlan!$B:$B,RetirementPlan!$H:$H,0)))</f>
        <v/>
      </c>
      <c r="K162">
        <f>IF($A162="","",IF(NOT(ISBLANK(XLOOKUP($A162,RetirementPlan!$B:$B,RetirementPlan!$N:$N,""))),XLOOKUP($A162,RetirementPlan!$B:$B,RetirementPlan!$N:$N,""),LET(cid,$A162,c,FILTER(LocationPlan!$D:$D,LocationPlan!$C:$C=cid),p,FILTER(LocationPlan!$E:$E,LocationPlan!$C:$C=cid),IFERROR(INDEX(c,MATCH(MAX(p),p,0)),""))))</f>
        <v/>
      </c>
    </row>
    <row r="163">
      <c r="B163">
        <f>IF($A163="","",XLOOKUP($A163,Clients!$A:$A,Clients!$D:$D)&amp;" "&amp;XLOOKUP($A163,Clients!$A:$A,Clients!$E:$E))</f>
        <v/>
      </c>
      <c r="C163">
        <f>IF($A163="","",DATEDIF(XLOOKUP($A163,Clients!$A:$A,Clients!$F:$F),VAL_DATE,"Y"))</f>
        <v/>
      </c>
      <c r="D163">
        <f>IF(OR($A163="",E163=""),"",E163-C163)</f>
        <v/>
      </c>
      <c r="E163">
        <f>IF($A163="","",XLOOKUP($A163,RetirementPlan!$B:$B,RetirementPlan!$C:$C,""))</f>
        <v/>
      </c>
      <c r="F163" s="9">
        <f>IF(OR($A163="",D163=""),"",FV(IF(IFERROR(XLOOKUP($A163,RetirementPlan!$B:$B,RetirementPlan!$K:$K,""),"")="",GROWTH,IFERROR(XLOOKUP($A163,RetirementPlan!$B:$B,RetirementPlan!$K:$K,""),"")),D163,-N(XLOOKUP($A163,RetirementPlan!$B:$B,RetirementPlan!$I:$I,0)),-SUMIFS(Assets!$J:$J,Assets!$B:$B,$A163,Assets!$R:$R,"Yes"),0))</f>
        <v/>
      </c>
      <c r="G163" s="9">
        <f>IF(OR($A163="",I163=""),"",MAX(0,(I163-J163)/IF(IFERROR(XLOOKUP($A163,RetirementPlan!$B:$B,RetirementPlan!$M:$M,""),"")="",SWR,IFERROR(XLOOKUP($A163,RetirementPlan!$B:$B,RetirementPlan!$M:$M,""),""))))</f>
        <v/>
      </c>
      <c r="H163" s="9">
        <f>IF(OR($A163="",F163="",G163=""),"",F163-G163)</f>
        <v/>
      </c>
      <c r="I163" s="9">
        <f>IF($A163="","",XLOOKUP($A163,RetirementPlan!$B:$B,RetirementPlan!$E:$E,""))</f>
        <v/>
      </c>
      <c r="J163" s="9">
        <f>IF($A163="","",N(XLOOKUP($A163,RetirementPlan!$B:$B,RetirementPlan!$G:$G,0))+N(XLOOKUP($A163,RetirementPlan!$B:$B,RetirementPlan!$H:$H,0)))</f>
        <v/>
      </c>
      <c r="K163">
        <f>IF($A163="","",IF(NOT(ISBLANK(XLOOKUP($A163,RetirementPlan!$B:$B,RetirementPlan!$N:$N,""))),XLOOKUP($A163,RetirementPlan!$B:$B,RetirementPlan!$N:$N,""),LET(cid,$A163,c,FILTER(LocationPlan!$D:$D,LocationPlan!$C:$C=cid),p,FILTER(LocationPlan!$E:$E,LocationPlan!$C:$C=cid),IFERROR(INDEX(c,MATCH(MAX(p),p,0)),""))))</f>
        <v/>
      </c>
    </row>
    <row r="164">
      <c r="B164">
        <f>IF($A164="","",XLOOKUP($A164,Clients!$A:$A,Clients!$D:$D)&amp;" "&amp;XLOOKUP($A164,Clients!$A:$A,Clients!$E:$E))</f>
        <v/>
      </c>
      <c r="C164">
        <f>IF($A164="","",DATEDIF(XLOOKUP($A164,Clients!$A:$A,Clients!$F:$F),VAL_DATE,"Y"))</f>
        <v/>
      </c>
      <c r="D164">
        <f>IF(OR($A164="",E164=""),"",E164-C164)</f>
        <v/>
      </c>
      <c r="E164">
        <f>IF($A164="","",XLOOKUP($A164,RetirementPlan!$B:$B,RetirementPlan!$C:$C,""))</f>
        <v/>
      </c>
      <c r="F164" s="9">
        <f>IF(OR($A164="",D164=""),"",FV(IF(IFERROR(XLOOKUP($A164,RetirementPlan!$B:$B,RetirementPlan!$K:$K,""),"")="",GROWTH,IFERROR(XLOOKUP($A164,RetirementPlan!$B:$B,RetirementPlan!$K:$K,""),"")),D164,-N(XLOOKUP($A164,RetirementPlan!$B:$B,RetirementPlan!$I:$I,0)),-SUMIFS(Assets!$J:$J,Assets!$B:$B,$A164,Assets!$R:$R,"Yes"),0))</f>
        <v/>
      </c>
      <c r="G164" s="9">
        <f>IF(OR($A164="",I164=""),"",MAX(0,(I164-J164)/IF(IFERROR(XLOOKUP($A164,RetirementPlan!$B:$B,RetirementPlan!$M:$M,""),"")="",SWR,IFERROR(XLOOKUP($A164,RetirementPlan!$B:$B,RetirementPlan!$M:$M,""),""))))</f>
        <v/>
      </c>
      <c r="H164" s="9">
        <f>IF(OR($A164="",F164="",G164=""),"",F164-G164)</f>
        <v/>
      </c>
      <c r="I164" s="9">
        <f>IF($A164="","",XLOOKUP($A164,RetirementPlan!$B:$B,RetirementPlan!$E:$E,""))</f>
        <v/>
      </c>
      <c r="J164" s="9">
        <f>IF($A164="","",N(XLOOKUP($A164,RetirementPlan!$B:$B,RetirementPlan!$G:$G,0))+N(XLOOKUP($A164,RetirementPlan!$B:$B,RetirementPlan!$H:$H,0)))</f>
        <v/>
      </c>
      <c r="K164">
        <f>IF($A164="","",IF(NOT(ISBLANK(XLOOKUP($A164,RetirementPlan!$B:$B,RetirementPlan!$N:$N,""))),XLOOKUP($A164,RetirementPlan!$B:$B,RetirementPlan!$N:$N,""),LET(cid,$A164,c,FILTER(LocationPlan!$D:$D,LocationPlan!$C:$C=cid),p,FILTER(LocationPlan!$E:$E,LocationPlan!$C:$C=cid),IFERROR(INDEX(c,MATCH(MAX(p),p,0)),""))))</f>
        <v/>
      </c>
    </row>
    <row r="165">
      <c r="B165">
        <f>IF($A165="","",XLOOKUP($A165,Clients!$A:$A,Clients!$D:$D)&amp;" "&amp;XLOOKUP($A165,Clients!$A:$A,Clients!$E:$E))</f>
        <v/>
      </c>
      <c r="C165">
        <f>IF($A165="","",DATEDIF(XLOOKUP($A165,Clients!$A:$A,Clients!$F:$F),VAL_DATE,"Y"))</f>
        <v/>
      </c>
      <c r="D165">
        <f>IF(OR($A165="",E165=""),"",E165-C165)</f>
        <v/>
      </c>
      <c r="E165">
        <f>IF($A165="","",XLOOKUP($A165,RetirementPlan!$B:$B,RetirementPlan!$C:$C,""))</f>
        <v/>
      </c>
      <c r="F165" s="9">
        <f>IF(OR($A165="",D165=""),"",FV(IF(IFERROR(XLOOKUP($A165,RetirementPlan!$B:$B,RetirementPlan!$K:$K,""),"")="",GROWTH,IFERROR(XLOOKUP($A165,RetirementPlan!$B:$B,RetirementPlan!$K:$K,""),"")),D165,-N(XLOOKUP($A165,RetirementPlan!$B:$B,RetirementPlan!$I:$I,0)),-SUMIFS(Assets!$J:$J,Assets!$B:$B,$A165,Assets!$R:$R,"Yes"),0))</f>
        <v/>
      </c>
      <c r="G165" s="9">
        <f>IF(OR($A165="",I165=""),"",MAX(0,(I165-J165)/IF(IFERROR(XLOOKUP($A165,RetirementPlan!$B:$B,RetirementPlan!$M:$M,""),"")="",SWR,IFERROR(XLOOKUP($A165,RetirementPlan!$B:$B,RetirementPlan!$M:$M,""),""))))</f>
        <v/>
      </c>
      <c r="H165" s="9">
        <f>IF(OR($A165="",F165="",G165=""),"",F165-G165)</f>
        <v/>
      </c>
      <c r="I165" s="9">
        <f>IF($A165="","",XLOOKUP($A165,RetirementPlan!$B:$B,RetirementPlan!$E:$E,""))</f>
        <v/>
      </c>
      <c r="J165" s="9">
        <f>IF($A165="","",N(XLOOKUP($A165,RetirementPlan!$B:$B,RetirementPlan!$G:$G,0))+N(XLOOKUP($A165,RetirementPlan!$B:$B,RetirementPlan!$H:$H,0)))</f>
        <v/>
      </c>
      <c r="K165">
        <f>IF($A165="","",IF(NOT(ISBLANK(XLOOKUP($A165,RetirementPlan!$B:$B,RetirementPlan!$N:$N,""))),XLOOKUP($A165,RetirementPlan!$B:$B,RetirementPlan!$N:$N,""),LET(cid,$A165,c,FILTER(LocationPlan!$D:$D,LocationPlan!$C:$C=cid),p,FILTER(LocationPlan!$E:$E,LocationPlan!$C:$C=cid),IFERROR(INDEX(c,MATCH(MAX(p),p,0)),""))))</f>
        <v/>
      </c>
    </row>
    <row r="166">
      <c r="B166">
        <f>IF($A166="","",XLOOKUP($A166,Clients!$A:$A,Clients!$D:$D)&amp;" "&amp;XLOOKUP($A166,Clients!$A:$A,Clients!$E:$E))</f>
        <v/>
      </c>
      <c r="C166">
        <f>IF($A166="","",DATEDIF(XLOOKUP($A166,Clients!$A:$A,Clients!$F:$F),VAL_DATE,"Y"))</f>
        <v/>
      </c>
      <c r="D166">
        <f>IF(OR($A166="",E166=""),"",E166-C166)</f>
        <v/>
      </c>
      <c r="E166">
        <f>IF($A166="","",XLOOKUP($A166,RetirementPlan!$B:$B,RetirementPlan!$C:$C,""))</f>
        <v/>
      </c>
      <c r="F166" s="9">
        <f>IF(OR($A166="",D166=""),"",FV(IF(IFERROR(XLOOKUP($A166,RetirementPlan!$B:$B,RetirementPlan!$K:$K,""),"")="",GROWTH,IFERROR(XLOOKUP($A166,RetirementPlan!$B:$B,RetirementPlan!$K:$K,""),"")),D166,-N(XLOOKUP($A166,RetirementPlan!$B:$B,RetirementPlan!$I:$I,0)),-SUMIFS(Assets!$J:$J,Assets!$B:$B,$A166,Assets!$R:$R,"Yes"),0))</f>
        <v/>
      </c>
      <c r="G166" s="9">
        <f>IF(OR($A166="",I166=""),"",MAX(0,(I166-J166)/IF(IFERROR(XLOOKUP($A166,RetirementPlan!$B:$B,RetirementPlan!$M:$M,""),"")="",SWR,IFERROR(XLOOKUP($A166,RetirementPlan!$B:$B,RetirementPlan!$M:$M,""),""))))</f>
        <v/>
      </c>
      <c r="H166" s="9">
        <f>IF(OR($A166="",F166="",G166=""),"",F166-G166)</f>
        <v/>
      </c>
      <c r="I166" s="9">
        <f>IF($A166="","",XLOOKUP($A166,RetirementPlan!$B:$B,RetirementPlan!$E:$E,""))</f>
        <v/>
      </c>
      <c r="J166" s="9">
        <f>IF($A166="","",N(XLOOKUP($A166,RetirementPlan!$B:$B,RetirementPlan!$G:$G,0))+N(XLOOKUP($A166,RetirementPlan!$B:$B,RetirementPlan!$H:$H,0)))</f>
        <v/>
      </c>
      <c r="K166">
        <f>IF($A166="","",IF(NOT(ISBLANK(XLOOKUP($A166,RetirementPlan!$B:$B,RetirementPlan!$N:$N,""))),XLOOKUP($A166,RetirementPlan!$B:$B,RetirementPlan!$N:$N,""),LET(cid,$A166,c,FILTER(LocationPlan!$D:$D,LocationPlan!$C:$C=cid),p,FILTER(LocationPlan!$E:$E,LocationPlan!$C:$C=cid),IFERROR(INDEX(c,MATCH(MAX(p),p,0)),""))))</f>
        <v/>
      </c>
    </row>
    <row r="167">
      <c r="B167">
        <f>IF($A167="","",XLOOKUP($A167,Clients!$A:$A,Clients!$D:$D)&amp;" "&amp;XLOOKUP($A167,Clients!$A:$A,Clients!$E:$E))</f>
        <v/>
      </c>
      <c r="C167">
        <f>IF($A167="","",DATEDIF(XLOOKUP($A167,Clients!$A:$A,Clients!$F:$F),VAL_DATE,"Y"))</f>
        <v/>
      </c>
      <c r="D167">
        <f>IF(OR($A167="",E167=""),"",E167-C167)</f>
        <v/>
      </c>
      <c r="E167">
        <f>IF($A167="","",XLOOKUP($A167,RetirementPlan!$B:$B,RetirementPlan!$C:$C,""))</f>
        <v/>
      </c>
      <c r="F167" s="9">
        <f>IF(OR($A167="",D167=""),"",FV(IF(IFERROR(XLOOKUP($A167,RetirementPlan!$B:$B,RetirementPlan!$K:$K,""),"")="",GROWTH,IFERROR(XLOOKUP($A167,RetirementPlan!$B:$B,RetirementPlan!$K:$K,""),"")),D167,-N(XLOOKUP($A167,RetirementPlan!$B:$B,RetirementPlan!$I:$I,0)),-SUMIFS(Assets!$J:$J,Assets!$B:$B,$A167,Assets!$R:$R,"Yes"),0))</f>
        <v/>
      </c>
      <c r="G167" s="9">
        <f>IF(OR($A167="",I167=""),"",MAX(0,(I167-J167)/IF(IFERROR(XLOOKUP($A167,RetirementPlan!$B:$B,RetirementPlan!$M:$M,""),"")="",SWR,IFERROR(XLOOKUP($A167,RetirementPlan!$B:$B,RetirementPlan!$M:$M,""),""))))</f>
        <v/>
      </c>
      <c r="H167" s="9">
        <f>IF(OR($A167="",F167="",G167=""),"",F167-G167)</f>
        <v/>
      </c>
      <c r="I167" s="9">
        <f>IF($A167="","",XLOOKUP($A167,RetirementPlan!$B:$B,RetirementPlan!$E:$E,""))</f>
        <v/>
      </c>
      <c r="J167" s="9">
        <f>IF($A167="","",N(XLOOKUP($A167,RetirementPlan!$B:$B,RetirementPlan!$G:$G,0))+N(XLOOKUP($A167,RetirementPlan!$B:$B,RetirementPlan!$H:$H,0)))</f>
        <v/>
      </c>
      <c r="K167">
        <f>IF($A167="","",IF(NOT(ISBLANK(XLOOKUP($A167,RetirementPlan!$B:$B,RetirementPlan!$N:$N,""))),XLOOKUP($A167,RetirementPlan!$B:$B,RetirementPlan!$N:$N,""),LET(cid,$A167,c,FILTER(LocationPlan!$D:$D,LocationPlan!$C:$C=cid),p,FILTER(LocationPlan!$E:$E,LocationPlan!$C:$C=cid),IFERROR(INDEX(c,MATCH(MAX(p),p,0)),""))))</f>
        <v/>
      </c>
    </row>
    <row r="168">
      <c r="B168">
        <f>IF($A168="","",XLOOKUP($A168,Clients!$A:$A,Clients!$D:$D)&amp;" "&amp;XLOOKUP($A168,Clients!$A:$A,Clients!$E:$E))</f>
        <v/>
      </c>
      <c r="C168">
        <f>IF($A168="","",DATEDIF(XLOOKUP($A168,Clients!$A:$A,Clients!$F:$F),VAL_DATE,"Y"))</f>
        <v/>
      </c>
      <c r="D168">
        <f>IF(OR($A168="",E168=""),"",E168-C168)</f>
        <v/>
      </c>
      <c r="E168">
        <f>IF($A168="","",XLOOKUP($A168,RetirementPlan!$B:$B,RetirementPlan!$C:$C,""))</f>
        <v/>
      </c>
      <c r="F168" s="9">
        <f>IF(OR($A168="",D168=""),"",FV(IF(IFERROR(XLOOKUP($A168,RetirementPlan!$B:$B,RetirementPlan!$K:$K,""),"")="",GROWTH,IFERROR(XLOOKUP($A168,RetirementPlan!$B:$B,RetirementPlan!$K:$K,""),"")),D168,-N(XLOOKUP($A168,RetirementPlan!$B:$B,RetirementPlan!$I:$I,0)),-SUMIFS(Assets!$J:$J,Assets!$B:$B,$A168,Assets!$R:$R,"Yes"),0))</f>
        <v/>
      </c>
      <c r="G168" s="9">
        <f>IF(OR($A168="",I168=""),"",MAX(0,(I168-J168)/IF(IFERROR(XLOOKUP($A168,RetirementPlan!$B:$B,RetirementPlan!$M:$M,""),"")="",SWR,IFERROR(XLOOKUP($A168,RetirementPlan!$B:$B,RetirementPlan!$M:$M,""),""))))</f>
        <v/>
      </c>
      <c r="H168" s="9">
        <f>IF(OR($A168="",F168="",G168=""),"",F168-G168)</f>
        <v/>
      </c>
      <c r="I168" s="9">
        <f>IF($A168="","",XLOOKUP($A168,RetirementPlan!$B:$B,RetirementPlan!$E:$E,""))</f>
        <v/>
      </c>
      <c r="J168" s="9">
        <f>IF($A168="","",N(XLOOKUP($A168,RetirementPlan!$B:$B,RetirementPlan!$G:$G,0))+N(XLOOKUP($A168,RetirementPlan!$B:$B,RetirementPlan!$H:$H,0)))</f>
        <v/>
      </c>
      <c r="K168">
        <f>IF($A168="","",IF(NOT(ISBLANK(XLOOKUP($A168,RetirementPlan!$B:$B,RetirementPlan!$N:$N,""))),XLOOKUP($A168,RetirementPlan!$B:$B,RetirementPlan!$N:$N,""),LET(cid,$A168,c,FILTER(LocationPlan!$D:$D,LocationPlan!$C:$C=cid),p,FILTER(LocationPlan!$E:$E,LocationPlan!$C:$C=cid),IFERROR(INDEX(c,MATCH(MAX(p),p,0)),""))))</f>
        <v/>
      </c>
    </row>
    <row r="169">
      <c r="B169">
        <f>IF($A169="","",XLOOKUP($A169,Clients!$A:$A,Clients!$D:$D)&amp;" "&amp;XLOOKUP($A169,Clients!$A:$A,Clients!$E:$E))</f>
        <v/>
      </c>
      <c r="C169">
        <f>IF($A169="","",DATEDIF(XLOOKUP($A169,Clients!$A:$A,Clients!$F:$F),VAL_DATE,"Y"))</f>
        <v/>
      </c>
      <c r="D169">
        <f>IF(OR($A169="",E169=""),"",E169-C169)</f>
        <v/>
      </c>
      <c r="E169">
        <f>IF($A169="","",XLOOKUP($A169,RetirementPlan!$B:$B,RetirementPlan!$C:$C,""))</f>
        <v/>
      </c>
      <c r="F169" s="9">
        <f>IF(OR($A169="",D169=""),"",FV(IF(IFERROR(XLOOKUP($A169,RetirementPlan!$B:$B,RetirementPlan!$K:$K,""),"")="",GROWTH,IFERROR(XLOOKUP($A169,RetirementPlan!$B:$B,RetirementPlan!$K:$K,""),"")),D169,-N(XLOOKUP($A169,RetirementPlan!$B:$B,RetirementPlan!$I:$I,0)),-SUMIFS(Assets!$J:$J,Assets!$B:$B,$A169,Assets!$R:$R,"Yes"),0))</f>
        <v/>
      </c>
      <c r="G169" s="9">
        <f>IF(OR($A169="",I169=""),"",MAX(0,(I169-J169)/IF(IFERROR(XLOOKUP($A169,RetirementPlan!$B:$B,RetirementPlan!$M:$M,""),"")="",SWR,IFERROR(XLOOKUP($A169,RetirementPlan!$B:$B,RetirementPlan!$M:$M,""),""))))</f>
        <v/>
      </c>
      <c r="H169" s="9">
        <f>IF(OR($A169="",F169="",G169=""),"",F169-G169)</f>
        <v/>
      </c>
      <c r="I169" s="9">
        <f>IF($A169="","",XLOOKUP($A169,RetirementPlan!$B:$B,RetirementPlan!$E:$E,""))</f>
        <v/>
      </c>
      <c r="J169" s="9">
        <f>IF($A169="","",N(XLOOKUP($A169,RetirementPlan!$B:$B,RetirementPlan!$G:$G,0))+N(XLOOKUP($A169,RetirementPlan!$B:$B,RetirementPlan!$H:$H,0)))</f>
        <v/>
      </c>
      <c r="K169">
        <f>IF($A169="","",IF(NOT(ISBLANK(XLOOKUP($A169,RetirementPlan!$B:$B,RetirementPlan!$N:$N,""))),XLOOKUP($A169,RetirementPlan!$B:$B,RetirementPlan!$N:$N,""),LET(cid,$A169,c,FILTER(LocationPlan!$D:$D,LocationPlan!$C:$C=cid),p,FILTER(LocationPlan!$E:$E,LocationPlan!$C:$C=cid),IFERROR(INDEX(c,MATCH(MAX(p),p,0)),""))))</f>
        <v/>
      </c>
    </row>
    <row r="170">
      <c r="B170">
        <f>IF($A170="","",XLOOKUP($A170,Clients!$A:$A,Clients!$D:$D)&amp;" "&amp;XLOOKUP($A170,Clients!$A:$A,Clients!$E:$E))</f>
        <v/>
      </c>
      <c r="C170">
        <f>IF($A170="","",DATEDIF(XLOOKUP($A170,Clients!$A:$A,Clients!$F:$F),VAL_DATE,"Y"))</f>
        <v/>
      </c>
      <c r="D170">
        <f>IF(OR($A170="",E170=""),"",E170-C170)</f>
        <v/>
      </c>
      <c r="E170">
        <f>IF($A170="","",XLOOKUP($A170,RetirementPlan!$B:$B,RetirementPlan!$C:$C,""))</f>
        <v/>
      </c>
      <c r="F170" s="9">
        <f>IF(OR($A170="",D170=""),"",FV(IF(IFERROR(XLOOKUP($A170,RetirementPlan!$B:$B,RetirementPlan!$K:$K,""),"")="",GROWTH,IFERROR(XLOOKUP($A170,RetirementPlan!$B:$B,RetirementPlan!$K:$K,""),"")),D170,-N(XLOOKUP($A170,RetirementPlan!$B:$B,RetirementPlan!$I:$I,0)),-SUMIFS(Assets!$J:$J,Assets!$B:$B,$A170,Assets!$R:$R,"Yes"),0))</f>
        <v/>
      </c>
      <c r="G170" s="9">
        <f>IF(OR($A170="",I170=""),"",MAX(0,(I170-J170)/IF(IFERROR(XLOOKUP($A170,RetirementPlan!$B:$B,RetirementPlan!$M:$M,""),"")="",SWR,IFERROR(XLOOKUP($A170,RetirementPlan!$B:$B,RetirementPlan!$M:$M,""),""))))</f>
        <v/>
      </c>
      <c r="H170" s="9">
        <f>IF(OR($A170="",F170="",G170=""),"",F170-G170)</f>
        <v/>
      </c>
      <c r="I170" s="9">
        <f>IF($A170="","",XLOOKUP($A170,RetirementPlan!$B:$B,RetirementPlan!$E:$E,""))</f>
        <v/>
      </c>
      <c r="J170" s="9">
        <f>IF($A170="","",N(XLOOKUP($A170,RetirementPlan!$B:$B,RetirementPlan!$G:$G,0))+N(XLOOKUP($A170,RetirementPlan!$B:$B,RetirementPlan!$H:$H,0)))</f>
        <v/>
      </c>
      <c r="K170">
        <f>IF($A170="","",IF(NOT(ISBLANK(XLOOKUP($A170,RetirementPlan!$B:$B,RetirementPlan!$N:$N,""))),XLOOKUP($A170,RetirementPlan!$B:$B,RetirementPlan!$N:$N,""),LET(cid,$A170,c,FILTER(LocationPlan!$D:$D,LocationPlan!$C:$C=cid),p,FILTER(LocationPlan!$E:$E,LocationPlan!$C:$C=cid),IFERROR(INDEX(c,MATCH(MAX(p),p,0)),""))))</f>
        <v/>
      </c>
    </row>
    <row r="171">
      <c r="B171">
        <f>IF($A171="","",XLOOKUP($A171,Clients!$A:$A,Clients!$D:$D)&amp;" "&amp;XLOOKUP($A171,Clients!$A:$A,Clients!$E:$E))</f>
        <v/>
      </c>
      <c r="C171">
        <f>IF($A171="","",DATEDIF(XLOOKUP($A171,Clients!$A:$A,Clients!$F:$F),VAL_DATE,"Y"))</f>
        <v/>
      </c>
      <c r="D171">
        <f>IF(OR($A171="",E171=""),"",E171-C171)</f>
        <v/>
      </c>
      <c r="E171">
        <f>IF($A171="","",XLOOKUP($A171,RetirementPlan!$B:$B,RetirementPlan!$C:$C,""))</f>
        <v/>
      </c>
      <c r="F171" s="9">
        <f>IF(OR($A171="",D171=""),"",FV(IF(IFERROR(XLOOKUP($A171,RetirementPlan!$B:$B,RetirementPlan!$K:$K,""),"")="",GROWTH,IFERROR(XLOOKUP($A171,RetirementPlan!$B:$B,RetirementPlan!$K:$K,""),"")),D171,-N(XLOOKUP($A171,RetirementPlan!$B:$B,RetirementPlan!$I:$I,0)),-SUMIFS(Assets!$J:$J,Assets!$B:$B,$A171,Assets!$R:$R,"Yes"),0))</f>
        <v/>
      </c>
      <c r="G171" s="9">
        <f>IF(OR($A171="",I171=""),"",MAX(0,(I171-J171)/IF(IFERROR(XLOOKUP($A171,RetirementPlan!$B:$B,RetirementPlan!$M:$M,""),"")="",SWR,IFERROR(XLOOKUP($A171,RetirementPlan!$B:$B,RetirementPlan!$M:$M,""),""))))</f>
        <v/>
      </c>
      <c r="H171" s="9">
        <f>IF(OR($A171="",F171="",G171=""),"",F171-G171)</f>
        <v/>
      </c>
      <c r="I171" s="9">
        <f>IF($A171="","",XLOOKUP($A171,RetirementPlan!$B:$B,RetirementPlan!$E:$E,""))</f>
        <v/>
      </c>
      <c r="J171" s="9">
        <f>IF($A171="","",N(XLOOKUP($A171,RetirementPlan!$B:$B,RetirementPlan!$G:$G,0))+N(XLOOKUP($A171,RetirementPlan!$B:$B,RetirementPlan!$H:$H,0)))</f>
        <v/>
      </c>
      <c r="K171">
        <f>IF($A171="","",IF(NOT(ISBLANK(XLOOKUP($A171,RetirementPlan!$B:$B,RetirementPlan!$N:$N,""))),XLOOKUP($A171,RetirementPlan!$B:$B,RetirementPlan!$N:$N,""),LET(cid,$A171,c,FILTER(LocationPlan!$D:$D,LocationPlan!$C:$C=cid),p,FILTER(LocationPlan!$E:$E,LocationPlan!$C:$C=cid),IFERROR(INDEX(c,MATCH(MAX(p),p,0)),""))))</f>
        <v/>
      </c>
    </row>
    <row r="172">
      <c r="B172">
        <f>IF($A172="","",XLOOKUP($A172,Clients!$A:$A,Clients!$D:$D)&amp;" "&amp;XLOOKUP($A172,Clients!$A:$A,Clients!$E:$E))</f>
        <v/>
      </c>
      <c r="C172">
        <f>IF($A172="","",DATEDIF(XLOOKUP($A172,Clients!$A:$A,Clients!$F:$F),VAL_DATE,"Y"))</f>
        <v/>
      </c>
      <c r="D172">
        <f>IF(OR($A172="",E172=""),"",E172-C172)</f>
        <v/>
      </c>
      <c r="E172">
        <f>IF($A172="","",XLOOKUP($A172,RetirementPlan!$B:$B,RetirementPlan!$C:$C,""))</f>
        <v/>
      </c>
      <c r="F172" s="9">
        <f>IF(OR($A172="",D172=""),"",FV(IF(IFERROR(XLOOKUP($A172,RetirementPlan!$B:$B,RetirementPlan!$K:$K,""),"")="",GROWTH,IFERROR(XLOOKUP($A172,RetirementPlan!$B:$B,RetirementPlan!$K:$K,""),"")),D172,-N(XLOOKUP($A172,RetirementPlan!$B:$B,RetirementPlan!$I:$I,0)),-SUMIFS(Assets!$J:$J,Assets!$B:$B,$A172,Assets!$R:$R,"Yes"),0))</f>
        <v/>
      </c>
      <c r="G172" s="9">
        <f>IF(OR($A172="",I172=""),"",MAX(0,(I172-J172)/IF(IFERROR(XLOOKUP($A172,RetirementPlan!$B:$B,RetirementPlan!$M:$M,""),"")="",SWR,IFERROR(XLOOKUP($A172,RetirementPlan!$B:$B,RetirementPlan!$M:$M,""),""))))</f>
        <v/>
      </c>
      <c r="H172" s="9">
        <f>IF(OR($A172="",F172="",G172=""),"",F172-G172)</f>
        <v/>
      </c>
      <c r="I172" s="9">
        <f>IF($A172="","",XLOOKUP($A172,RetirementPlan!$B:$B,RetirementPlan!$E:$E,""))</f>
        <v/>
      </c>
      <c r="J172" s="9">
        <f>IF($A172="","",N(XLOOKUP($A172,RetirementPlan!$B:$B,RetirementPlan!$G:$G,0))+N(XLOOKUP($A172,RetirementPlan!$B:$B,RetirementPlan!$H:$H,0)))</f>
        <v/>
      </c>
      <c r="K172">
        <f>IF($A172="","",IF(NOT(ISBLANK(XLOOKUP($A172,RetirementPlan!$B:$B,RetirementPlan!$N:$N,""))),XLOOKUP($A172,RetirementPlan!$B:$B,RetirementPlan!$N:$N,""),LET(cid,$A172,c,FILTER(LocationPlan!$D:$D,LocationPlan!$C:$C=cid),p,FILTER(LocationPlan!$E:$E,LocationPlan!$C:$C=cid),IFERROR(INDEX(c,MATCH(MAX(p),p,0)),""))))</f>
        <v/>
      </c>
    </row>
    <row r="173">
      <c r="B173">
        <f>IF($A173="","",XLOOKUP($A173,Clients!$A:$A,Clients!$D:$D)&amp;" "&amp;XLOOKUP($A173,Clients!$A:$A,Clients!$E:$E))</f>
        <v/>
      </c>
      <c r="C173">
        <f>IF($A173="","",DATEDIF(XLOOKUP($A173,Clients!$A:$A,Clients!$F:$F),VAL_DATE,"Y"))</f>
        <v/>
      </c>
      <c r="D173">
        <f>IF(OR($A173="",E173=""),"",E173-C173)</f>
        <v/>
      </c>
      <c r="E173">
        <f>IF($A173="","",XLOOKUP($A173,RetirementPlan!$B:$B,RetirementPlan!$C:$C,""))</f>
        <v/>
      </c>
      <c r="F173" s="9">
        <f>IF(OR($A173="",D173=""),"",FV(IF(IFERROR(XLOOKUP($A173,RetirementPlan!$B:$B,RetirementPlan!$K:$K,""),"")="",GROWTH,IFERROR(XLOOKUP($A173,RetirementPlan!$B:$B,RetirementPlan!$K:$K,""),"")),D173,-N(XLOOKUP($A173,RetirementPlan!$B:$B,RetirementPlan!$I:$I,0)),-SUMIFS(Assets!$J:$J,Assets!$B:$B,$A173,Assets!$R:$R,"Yes"),0))</f>
        <v/>
      </c>
      <c r="G173" s="9">
        <f>IF(OR($A173="",I173=""),"",MAX(0,(I173-J173)/IF(IFERROR(XLOOKUP($A173,RetirementPlan!$B:$B,RetirementPlan!$M:$M,""),"")="",SWR,IFERROR(XLOOKUP($A173,RetirementPlan!$B:$B,RetirementPlan!$M:$M,""),""))))</f>
        <v/>
      </c>
      <c r="H173" s="9">
        <f>IF(OR($A173="",F173="",G173=""),"",F173-G173)</f>
        <v/>
      </c>
      <c r="I173" s="9">
        <f>IF($A173="","",XLOOKUP($A173,RetirementPlan!$B:$B,RetirementPlan!$E:$E,""))</f>
        <v/>
      </c>
      <c r="J173" s="9">
        <f>IF($A173="","",N(XLOOKUP($A173,RetirementPlan!$B:$B,RetirementPlan!$G:$G,0))+N(XLOOKUP($A173,RetirementPlan!$B:$B,RetirementPlan!$H:$H,0)))</f>
        <v/>
      </c>
      <c r="K173">
        <f>IF($A173="","",IF(NOT(ISBLANK(XLOOKUP($A173,RetirementPlan!$B:$B,RetirementPlan!$N:$N,""))),XLOOKUP($A173,RetirementPlan!$B:$B,RetirementPlan!$N:$N,""),LET(cid,$A173,c,FILTER(LocationPlan!$D:$D,LocationPlan!$C:$C=cid),p,FILTER(LocationPlan!$E:$E,LocationPlan!$C:$C=cid),IFERROR(INDEX(c,MATCH(MAX(p),p,0)),""))))</f>
        <v/>
      </c>
    </row>
    <row r="174">
      <c r="B174">
        <f>IF($A174="","",XLOOKUP($A174,Clients!$A:$A,Clients!$D:$D)&amp;" "&amp;XLOOKUP($A174,Clients!$A:$A,Clients!$E:$E))</f>
        <v/>
      </c>
      <c r="C174">
        <f>IF($A174="","",DATEDIF(XLOOKUP($A174,Clients!$A:$A,Clients!$F:$F),VAL_DATE,"Y"))</f>
        <v/>
      </c>
      <c r="D174">
        <f>IF(OR($A174="",E174=""),"",E174-C174)</f>
        <v/>
      </c>
      <c r="E174">
        <f>IF($A174="","",XLOOKUP($A174,RetirementPlan!$B:$B,RetirementPlan!$C:$C,""))</f>
        <v/>
      </c>
      <c r="F174" s="9">
        <f>IF(OR($A174="",D174=""),"",FV(IF(IFERROR(XLOOKUP($A174,RetirementPlan!$B:$B,RetirementPlan!$K:$K,""),"")="",GROWTH,IFERROR(XLOOKUP($A174,RetirementPlan!$B:$B,RetirementPlan!$K:$K,""),"")),D174,-N(XLOOKUP($A174,RetirementPlan!$B:$B,RetirementPlan!$I:$I,0)),-SUMIFS(Assets!$J:$J,Assets!$B:$B,$A174,Assets!$R:$R,"Yes"),0))</f>
        <v/>
      </c>
      <c r="G174" s="9">
        <f>IF(OR($A174="",I174=""),"",MAX(0,(I174-J174)/IF(IFERROR(XLOOKUP($A174,RetirementPlan!$B:$B,RetirementPlan!$M:$M,""),"")="",SWR,IFERROR(XLOOKUP($A174,RetirementPlan!$B:$B,RetirementPlan!$M:$M,""),""))))</f>
        <v/>
      </c>
      <c r="H174" s="9">
        <f>IF(OR($A174="",F174="",G174=""),"",F174-G174)</f>
        <v/>
      </c>
      <c r="I174" s="9">
        <f>IF($A174="","",XLOOKUP($A174,RetirementPlan!$B:$B,RetirementPlan!$E:$E,""))</f>
        <v/>
      </c>
      <c r="J174" s="9">
        <f>IF($A174="","",N(XLOOKUP($A174,RetirementPlan!$B:$B,RetirementPlan!$G:$G,0))+N(XLOOKUP($A174,RetirementPlan!$B:$B,RetirementPlan!$H:$H,0)))</f>
        <v/>
      </c>
      <c r="K174">
        <f>IF($A174="","",IF(NOT(ISBLANK(XLOOKUP($A174,RetirementPlan!$B:$B,RetirementPlan!$N:$N,""))),XLOOKUP($A174,RetirementPlan!$B:$B,RetirementPlan!$N:$N,""),LET(cid,$A174,c,FILTER(LocationPlan!$D:$D,LocationPlan!$C:$C=cid),p,FILTER(LocationPlan!$E:$E,LocationPlan!$C:$C=cid),IFERROR(INDEX(c,MATCH(MAX(p),p,0)),""))))</f>
        <v/>
      </c>
    </row>
    <row r="175">
      <c r="B175">
        <f>IF($A175="","",XLOOKUP($A175,Clients!$A:$A,Clients!$D:$D)&amp;" "&amp;XLOOKUP($A175,Clients!$A:$A,Clients!$E:$E))</f>
        <v/>
      </c>
      <c r="C175">
        <f>IF($A175="","",DATEDIF(XLOOKUP($A175,Clients!$A:$A,Clients!$F:$F),VAL_DATE,"Y"))</f>
        <v/>
      </c>
      <c r="D175">
        <f>IF(OR($A175="",E175=""),"",E175-C175)</f>
        <v/>
      </c>
      <c r="E175">
        <f>IF($A175="","",XLOOKUP($A175,RetirementPlan!$B:$B,RetirementPlan!$C:$C,""))</f>
        <v/>
      </c>
      <c r="F175" s="9">
        <f>IF(OR($A175="",D175=""),"",FV(IF(IFERROR(XLOOKUP($A175,RetirementPlan!$B:$B,RetirementPlan!$K:$K,""),"")="",GROWTH,IFERROR(XLOOKUP($A175,RetirementPlan!$B:$B,RetirementPlan!$K:$K,""),"")),D175,-N(XLOOKUP($A175,RetirementPlan!$B:$B,RetirementPlan!$I:$I,0)),-SUMIFS(Assets!$J:$J,Assets!$B:$B,$A175,Assets!$R:$R,"Yes"),0))</f>
        <v/>
      </c>
      <c r="G175" s="9">
        <f>IF(OR($A175="",I175=""),"",MAX(0,(I175-J175)/IF(IFERROR(XLOOKUP($A175,RetirementPlan!$B:$B,RetirementPlan!$M:$M,""),"")="",SWR,IFERROR(XLOOKUP($A175,RetirementPlan!$B:$B,RetirementPlan!$M:$M,""),""))))</f>
        <v/>
      </c>
      <c r="H175" s="9">
        <f>IF(OR($A175="",F175="",G175=""),"",F175-G175)</f>
        <v/>
      </c>
      <c r="I175" s="9">
        <f>IF($A175="","",XLOOKUP($A175,RetirementPlan!$B:$B,RetirementPlan!$E:$E,""))</f>
        <v/>
      </c>
      <c r="J175" s="9">
        <f>IF($A175="","",N(XLOOKUP($A175,RetirementPlan!$B:$B,RetirementPlan!$G:$G,0))+N(XLOOKUP($A175,RetirementPlan!$B:$B,RetirementPlan!$H:$H,0)))</f>
        <v/>
      </c>
      <c r="K175">
        <f>IF($A175="","",IF(NOT(ISBLANK(XLOOKUP($A175,RetirementPlan!$B:$B,RetirementPlan!$N:$N,""))),XLOOKUP($A175,RetirementPlan!$B:$B,RetirementPlan!$N:$N,""),LET(cid,$A175,c,FILTER(LocationPlan!$D:$D,LocationPlan!$C:$C=cid),p,FILTER(LocationPlan!$E:$E,LocationPlan!$C:$C=cid),IFERROR(INDEX(c,MATCH(MAX(p),p,0)),""))))</f>
        <v/>
      </c>
    </row>
    <row r="176">
      <c r="B176">
        <f>IF($A176="","",XLOOKUP($A176,Clients!$A:$A,Clients!$D:$D)&amp;" "&amp;XLOOKUP($A176,Clients!$A:$A,Clients!$E:$E))</f>
        <v/>
      </c>
      <c r="C176">
        <f>IF($A176="","",DATEDIF(XLOOKUP($A176,Clients!$A:$A,Clients!$F:$F),VAL_DATE,"Y"))</f>
        <v/>
      </c>
      <c r="D176">
        <f>IF(OR($A176="",E176=""),"",E176-C176)</f>
        <v/>
      </c>
      <c r="E176">
        <f>IF($A176="","",XLOOKUP($A176,RetirementPlan!$B:$B,RetirementPlan!$C:$C,""))</f>
        <v/>
      </c>
      <c r="F176" s="9">
        <f>IF(OR($A176="",D176=""),"",FV(IF(IFERROR(XLOOKUP($A176,RetirementPlan!$B:$B,RetirementPlan!$K:$K,""),"")="",GROWTH,IFERROR(XLOOKUP($A176,RetirementPlan!$B:$B,RetirementPlan!$K:$K,""),"")),D176,-N(XLOOKUP($A176,RetirementPlan!$B:$B,RetirementPlan!$I:$I,0)),-SUMIFS(Assets!$J:$J,Assets!$B:$B,$A176,Assets!$R:$R,"Yes"),0))</f>
        <v/>
      </c>
      <c r="G176" s="9">
        <f>IF(OR($A176="",I176=""),"",MAX(0,(I176-J176)/IF(IFERROR(XLOOKUP($A176,RetirementPlan!$B:$B,RetirementPlan!$M:$M,""),"")="",SWR,IFERROR(XLOOKUP($A176,RetirementPlan!$B:$B,RetirementPlan!$M:$M,""),""))))</f>
        <v/>
      </c>
      <c r="H176" s="9">
        <f>IF(OR($A176="",F176="",G176=""),"",F176-G176)</f>
        <v/>
      </c>
      <c r="I176" s="9">
        <f>IF($A176="","",XLOOKUP($A176,RetirementPlan!$B:$B,RetirementPlan!$E:$E,""))</f>
        <v/>
      </c>
      <c r="J176" s="9">
        <f>IF($A176="","",N(XLOOKUP($A176,RetirementPlan!$B:$B,RetirementPlan!$G:$G,0))+N(XLOOKUP($A176,RetirementPlan!$B:$B,RetirementPlan!$H:$H,0)))</f>
        <v/>
      </c>
      <c r="K176">
        <f>IF($A176="","",IF(NOT(ISBLANK(XLOOKUP($A176,RetirementPlan!$B:$B,RetirementPlan!$N:$N,""))),XLOOKUP($A176,RetirementPlan!$B:$B,RetirementPlan!$N:$N,""),LET(cid,$A176,c,FILTER(LocationPlan!$D:$D,LocationPlan!$C:$C=cid),p,FILTER(LocationPlan!$E:$E,LocationPlan!$C:$C=cid),IFERROR(INDEX(c,MATCH(MAX(p),p,0)),""))))</f>
        <v/>
      </c>
    </row>
    <row r="177">
      <c r="B177">
        <f>IF($A177="","",XLOOKUP($A177,Clients!$A:$A,Clients!$D:$D)&amp;" "&amp;XLOOKUP($A177,Clients!$A:$A,Clients!$E:$E))</f>
        <v/>
      </c>
      <c r="C177">
        <f>IF($A177="","",DATEDIF(XLOOKUP($A177,Clients!$A:$A,Clients!$F:$F),VAL_DATE,"Y"))</f>
        <v/>
      </c>
      <c r="D177">
        <f>IF(OR($A177="",E177=""),"",E177-C177)</f>
        <v/>
      </c>
      <c r="E177">
        <f>IF($A177="","",XLOOKUP($A177,RetirementPlan!$B:$B,RetirementPlan!$C:$C,""))</f>
        <v/>
      </c>
      <c r="F177" s="9">
        <f>IF(OR($A177="",D177=""),"",FV(IF(IFERROR(XLOOKUP($A177,RetirementPlan!$B:$B,RetirementPlan!$K:$K,""),"")="",GROWTH,IFERROR(XLOOKUP($A177,RetirementPlan!$B:$B,RetirementPlan!$K:$K,""),"")),D177,-N(XLOOKUP($A177,RetirementPlan!$B:$B,RetirementPlan!$I:$I,0)),-SUMIFS(Assets!$J:$J,Assets!$B:$B,$A177,Assets!$R:$R,"Yes"),0))</f>
        <v/>
      </c>
      <c r="G177" s="9">
        <f>IF(OR($A177="",I177=""),"",MAX(0,(I177-J177)/IF(IFERROR(XLOOKUP($A177,RetirementPlan!$B:$B,RetirementPlan!$M:$M,""),"")="",SWR,IFERROR(XLOOKUP($A177,RetirementPlan!$B:$B,RetirementPlan!$M:$M,""),""))))</f>
        <v/>
      </c>
      <c r="H177" s="9">
        <f>IF(OR($A177="",F177="",G177=""),"",F177-G177)</f>
        <v/>
      </c>
      <c r="I177" s="9">
        <f>IF($A177="","",XLOOKUP($A177,RetirementPlan!$B:$B,RetirementPlan!$E:$E,""))</f>
        <v/>
      </c>
      <c r="J177" s="9">
        <f>IF($A177="","",N(XLOOKUP($A177,RetirementPlan!$B:$B,RetirementPlan!$G:$G,0))+N(XLOOKUP($A177,RetirementPlan!$B:$B,RetirementPlan!$H:$H,0)))</f>
        <v/>
      </c>
      <c r="K177">
        <f>IF($A177="","",IF(NOT(ISBLANK(XLOOKUP($A177,RetirementPlan!$B:$B,RetirementPlan!$N:$N,""))),XLOOKUP($A177,RetirementPlan!$B:$B,RetirementPlan!$N:$N,""),LET(cid,$A177,c,FILTER(LocationPlan!$D:$D,LocationPlan!$C:$C=cid),p,FILTER(LocationPlan!$E:$E,LocationPlan!$C:$C=cid),IFERROR(INDEX(c,MATCH(MAX(p),p,0)),""))))</f>
        <v/>
      </c>
    </row>
    <row r="178">
      <c r="B178">
        <f>IF($A178="","",XLOOKUP($A178,Clients!$A:$A,Clients!$D:$D)&amp;" "&amp;XLOOKUP($A178,Clients!$A:$A,Clients!$E:$E))</f>
        <v/>
      </c>
      <c r="C178">
        <f>IF($A178="","",DATEDIF(XLOOKUP($A178,Clients!$A:$A,Clients!$F:$F),VAL_DATE,"Y"))</f>
        <v/>
      </c>
      <c r="D178">
        <f>IF(OR($A178="",E178=""),"",E178-C178)</f>
        <v/>
      </c>
      <c r="E178">
        <f>IF($A178="","",XLOOKUP($A178,RetirementPlan!$B:$B,RetirementPlan!$C:$C,""))</f>
        <v/>
      </c>
      <c r="F178" s="9">
        <f>IF(OR($A178="",D178=""),"",FV(IF(IFERROR(XLOOKUP($A178,RetirementPlan!$B:$B,RetirementPlan!$K:$K,""),"")="",GROWTH,IFERROR(XLOOKUP($A178,RetirementPlan!$B:$B,RetirementPlan!$K:$K,""),"")),D178,-N(XLOOKUP($A178,RetirementPlan!$B:$B,RetirementPlan!$I:$I,0)),-SUMIFS(Assets!$J:$J,Assets!$B:$B,$A178,Assets!$R:$R,"Yes"),0))</f>
        <v/>
      </c>
      <c r="G178" s="9">
        <f>IF(OR($A178="",I178=""),"",MAX(0,(I178-J178)/IF(IFERROR(XLOOKUP($A178,RetirementPlan!$B:$B,RetirementPlan!$M:$M,""),"")="",SWR,IFERROR(XLOOKUP($A178,RetirementPlan!$B:$B,RetirementPlan!$M:$M,""),""))))</f>
        <v/>
      </c>
      <c r="H178" s="9">
        <f>IF(OR($A178="",F178="",G178=""),"",F178-G178)</f>
        <v/>
      </c>
      <c r="I178" s="9">
        <f>IF($A178="","",XLOOKUP($A178,RetirementPlan!$B:$B,RetirementPlan!$E:$E,""))</f>
        <v/>
      </c>
      <c r="J178" s="9">
        <f>IF($A178="","",N(XLOOKUP($A178,RetirementPlan!$B:$B,RetirementPlan!$G:$G,0))+N(XLOOKUP($A178,RetirementPlan!$B:$B,RetirementPlan!$H:$H,0)))</f>
        <v/>
      </c>
      <c r="K178">
        <f>IF($A178="","",IF(NOT(ISBLANK(XLOOKUP($A178,RetirementPlan!$B:$B,RetirementPlan!$N:$N,""))),XLOOKUP($A178,RetirementPlan!$B:$B,RetirementPlan!$N:$N,""),LET(cid,$A178,c,FILTER(LocationPlan!$D:$D,LocationPlan!$C:$C=cid),p,FILTER(LocationPlan!$E:$E,LocationPlan!$C:$C=cid),IFERROR(INDEX(c,MATCH(MAX(p),p,0)),""))))</f>
        <v/>
      </c>
    </row>
    <row r="179">
      <c r="B179">
        <f>IF($A179="","",XLOOKUP($A179,Clients!$A:$A,Clients!$D:$D)&amp;" "&amp;XLOOKUP($A179,Clients!$A:$A,Clients!$E:$E))</f>
        <v/>
      </c>
      <c r="C179">
        <f>IF($A179="","",DATEDIF(XLOOKUP($A179,Clients!$A:$A,Clients!$F:$F),VAL_DATE,"Y"))</f>
        <v/>
      </c>
      <c r="D179">
        <f>IF(OR($A179="",E179=""),"",E179-C179)</f>
        <v/>
      </c>
      <c r="E179">
        <f>IF($A179="","",XLOOKUP($A179,RetirementPlan!$B:$B,RetirementPlan!$C:$C,""))</f>
        <v/>
      </c>
      <c r="F179" s="9">
        <f>IF(OR($A179="",D179=""),"",FV(IF(IFERROR(XLOOKUP($A179,RetirementPlan!$B:$B,RetirementPlan!$K:$K,""),"")="",GROWTH,IFERROR(XLOOKUP($A179,RetirementPlan!$B:$B,RetirementPlan!$K:$K,""),"")),D179,-N(XLOOKUP($A179,RetirementPlan!$B:$B,RetirementPlan!$I:$I,0)),-SUMIFS(Assets!$J:$J,Assets!$B:$B,$A179,Assets!$R:$R,"Yes"),0))</f>
        <v/>
      </c>
      <c r="G179" s="9">
        <f>IF(OR($A179="",I179=""),"",MAX(0,(I179-J179)/IF(IFERROR(XLOOKUP($A179,RetirementPlan!$B:$B,RetirementPlan!$M:$M,""),"")="",SWR,IFERROR(XLOOKUP($A179,RetirementPlan!$B:$B,RetirementPlan!$M:$M,""),""))))</f>
        <v/>
      </c>
      <c r="H179" s="9">
        <f>IF(OR($A179="",F179="",G179=""),"",F179-G179)</f>
        <v/>
      </c>
      <c r="I179" s="9">
        <f>IF($A179="","",XLOOKUP($A179,RetirementPlan!$B:$B,RetirementPlan!$E:$E,""))</f>
        <v/>
      </c>
      <c r="J179" s="9">
        <f>IF($A179="","",N(XLOOKUP($A179,RetirementPlan!$B:$B,RetirementPlan!$G:$G,0))+N(XLOOKUP($A179,RetirementPlan!$B:$B,RetirementPlan!$H:$H,0)))</f>
        <v/>
      </c>
      <c r="K179">
        <f>IF($A179="","",IF(NOT(ISBLANK(XLOOKUP($A179,RetirementPlan!$B:$B,RetirementPlan!$N:$N,""))),XLOOKUP($A179,RetirementPlan!$B:$B,RetirementPlan!$N:$N,""),LET(cid,$A179,c,FILTER(LocationPlan!$D:$D,LocationPlan!$C:$C=cid),p,FILTER(LocationPlan!$E:$E,LocationPlan!$C:$C=cid),IFERROR(INDEX(c,MATCH(MAX(p),p,0)),""))))</f>
        <v/>
      </c>
    </row>
    <row r="180">
      <c r="B180">
        <f>IF($A180="","",XLOOKUP($A180,Clients!$A:$A,Clients!$D:$D)&amp;" "&amp;XLOOKUP($A180,Clients!$A:$A,Clients!$E:$E))</f>
        <v/>
      </c>
      <c r="C180">
        <f>IF($A180="","",DATEDIF(XLOOKUP($A180,Clients!$A:$A,Clients!$F:$F),VAL_DATE,"Y"))</f>
        <v/>
      </c>
      <c r="D180">
        <f>IF(OR($A180="",E180=""),"",E180-C180)</f>
        <v/>
      </c>
      <c r="E180">
        <f>IF($A180="","",XLOOKUP($A180,RetirementPlan!$B:$B,RetirementPlan!$C:$C,""))</f>
        <v/>
      </c>
      <c r="F180" s="9">
        <f>IF(OR($A180="",D180=""),"",FV(IF(IFERROR(XLOOKUP($A180,RetirementPlan!$B:$B,RetirementPlan!$K:$K,""),"")="",GROWTH,IFERROR(XLOOKUP($A180,RetirementPlan!$B:$B,RetirementPlan!$K:$K,""),"")),D180,-N(XLOOKUP($A180,RetirementPlan!$B:$B,RetirementPlan!$I:$I,0)),-SUMIFS(Assets!$J:$J,Assets!$B:$B,$A180,Assets!$R:$R,"Yes"),0))</f>
        <v/>
      </c>
      <c r="G180" s="9">
        <f>IF(OR($A180="",I180=""),"",MAX(0,(I180-J180)/IF(IFERROR(XLOOKUP($A180,RetirementPlan!$B:$B,RetirementPlan!$M:$M,""),"")="",SWR,IFERROR(XLOOKUP($A180,RetirementPlan!$B:$B,RetirementPlan!$M:$M,""),""))))</f>
        <v/>
      </c>
      <c r="H180" s="9">
        <f>IF(OR($A180="",F180="",G180=""),"",F180-G180)</f>
        <v/>
      </c>
      <c r="I180" s="9">
        <f>IF($A180="","",XLOOKUP($A180,RetirementPlan!$B:$B,RetirementPlan!$E:$E,""))</f>
        <v/>
      </c>
      <c r="J180" s="9">
        <f>IF($A180="","",N(XLOOKUP($A180,RetirementPlan!$B:$B,RetirementPlan!$G:$G,0))+N(XLOOKUP($A180,RetirementPlan!$B:$B,RetirementPlan!$H:$H,0)))</f>
        <v/>
      </c>
      <c r="K180">
        <f>IF($A180="","",IF(NOT(ISBLANK(XLOOKUP($A180,RetirementPlan!$B:$B,RetirementPlan!$N:$N,""))),XLOOKUP($A180,RetirementPlan!$B:$B,RetirementPlan!$N:$N,""),LET(cid,$A180,c,FILTER(LocationPlan!$D:$D,LocationPlan!$C:$C=cid),p,FILTER(LocationPlan!$E:$E,LocationPlan!$C:$C=cid),IFERROR(INDEX(c,MATCH(MAX(p),p,0)),""))))</f>
        <v/>
      </c>
    </row>
    <row r="181">
      <c r="B181">
        <f>IF($A181="","",XLOOKUP($A181,Clients!$A:$A,Clients!$D:$D)&amp;" "&amp;XLOOKUP($A181,Clients!$A:$A,Clients!$E:$E))</f>
        <v/>
      </c>
      <c r="C181">
        <f>IF($A181="","",DATEDIF(XLOOKUP($A181,Clients!$A:$A,Clients!$F:$F),VAL_DATE,"Y"))</f>
        <v/>
      </c>
      <c r="D181">
        <f>IF(OR($A181="",E181=""),"",E181-C181)</f>
        <v/>
      </c>
      <c r="E181">
        <f>IF($A181="","",XLOOKUP($A181,RetirementPlan!$B:$B,RetirementPlan!$C:$C,""))</f>
        <v/>
      </c>
      <c r="F181" s="9">
        <f>IF(OR($A181="",D181=""),"",FV(IF(IFERROR(XLOOKUP($A181,RetirementPlan!$B:$B,RetirementPlan!$K:$K,""),"")="",GROWTH,IFERROR(XLOOKUP($A181,RetirementPlan!$B:$B,RetirementPlan!$K:$K,""),"")),D181,-N(XLOOKUP($A181,RetirementPlan!$B:$B,RetirementPlan!$I:$I,0)),-SUMIFS(Assets!$J:$J,Assets!$B:$B,$A181,Assets!$R:$R,"Yes"),0))</f>
        <v/>
      </c>
      <c r="G181" s="9">
        <f>IF(OR($A181="",I181=""),"",MAX(0,(I181-J181)/IF(IFERROR(XLOOKUP($A181,RetirementPlan!$B:$B,RetirementPlan!$M:$M,""),"")="",SWR,IFERROR(XLOOKUP($A181,RetirementPlan!$B:$B,RetirementPlan!$M:$M,""),""))))</f>
        <v/>
      </c>
      <c r="H181" s="9">
        <f>IF(OR($A181="",F181="",G181=""),"",F181-G181)</f>
        <v/>
      </c>
      <c r="I181" s="9">
        <f>IF($A181="","",XLOOKUP($A181,RetirementPlan!$B:$B,RetirementPlan!$E:$E,""))</f>
        <v/>
      </c>
      <c r="J181" s="9">
        <f>IF($A181="","",N(XLOOKUP($A181,RetirementPlan!$B:$B,RetirementPlan!$G:$G,0))+N(XLOOKUP($A181,RetirementPlan!$B:$B,RetirementPlan!$H:$H,0)))</f>
        <v/>
      </c>
      <c r="K181">
        <f>IF($A181="","",IF(NOT(ISBLANK(XLOOKUP($A181,RetirementPlan!$B:$B,RetirementPlan!$N:$N,""))),XLOOKUP($A181,RetirementPlan!$B:$B,RetirementPlan!$N:$N,""),LET(cid,$A181,c,FILTER(LocationPlan!$D:$D,LocationPlan!$C:$C=cid),p,FILTER(LocationPlan!$E:$E,LocationPlan!$C:$C=cid),IFERROR(INDEX(c,MATCH(MAX(p),p,0)),""))))</f>
        <v/>
      </c>
    </row>
    <row r="182">
      <c r="B182">
        <f>IF($A182="","",XLOOKUP($A182,Clients!$A:$A,Clients!$D:$D)&amp;" "&amp;XLOOKUP($A182,Clients!$A:$A,Clients!$E:$E))</f>
        <v/>
      </c>
      <c r="C182">
        <f>IF($A182="","",DATEDIF(XLOOKUP($A182,Clients!$A:$A,Clients!$F:$F),VAL_DATE,"Y"))</f>
        <v/>
      </c>
      <c r="D182">
        <f>IF(OR($A182="",E182=""),"",E182-C182)</f>
        <v/>
      </c>
      <c r="E182">
        <f>IF($A182="","",XLOOKUP($A182,RetirementPlan!$B:$B,RetirementPlan!$C:$C,""))</f>
        <v/>
      </c>
      <c r="F182" s="9">
        <f>IF(OR($A182="",D182=""),"",FV(IF(IFERROR(XLOOKUP($A182,RetirementPlan!$B:$B,RetirementPlan!$K:$K,""),"")="",GROWTH,IFERROR(XLOOKUP($A182,RetirementPlan!$B:$B,RetirementPlan!$K:$K,""),"")),D182,-N(XLOOKUP($A182,RetirementPlan!$B:$B,RetirementPlan!$I:$I,0)),-SUMIFS(Assets!$J:$J,Assets!$B:$B,$A182,Assets!$R:$R,"Yes"),0))</f>
        <v/>
      </c>
      <c r="G182" s="9">
        <f>IF(OR($A182="",I182=""),"",MAX(0,(I182-J182)/IF(IFERROR(XLOOKUP($A182,RetirementPlan!$B:$B,RetirementPlan!$M:$M,""),"")="",SWR,IFERROR(XLOOKUP($A182,RetirementPlan!$B:$B,RetirementPlan!$M:$M,""),""))))</f>
        <v/>
      </c>
      <c r="H182" s="9">
        <f>IF(OR($A182="",F182="",G182=""),"",F182-G182)</f>
        <v/>
      </c>
      <c r="I182" s="9">
        <f>IF($A182="","",XLOOKUP($A182,RetirementPlan!$B:$B,RetirementPlan!$E:$E,""))</f>
        <v/>
      </c>
      <c r="J182" s="9">
        <f>IF($A182="","",N(XLOOKUP($A182,RetirementPlan!$B:$B,RetirementPlan!$G:$G,0))+N(XLOOKUP($A182,RetirementPlan!$B:$B,RetirementPlan!$H:$H,0)))</f>
        <v/>
      </c>
      <c r="K182">
        <f>IF($A182="","",IF(NOT(ISBLANK(XLOOKUP($A182,RetirementPlan!$B:$B,RetirementPlan!$N:$N,""))),XLOOKUP($A182,RetirementPlan!$B:$B,RetirementPlan!$N:$N,""),LET(cid,$A182,c,FILTER(LocationPlan!$D:$D,LocationPlan!$C:$C=cid),p,FILTER(LocationPlan!$E:$E,LocationPlan!$C:$C=cid),IFERROR(INDEX(c,MATCH(MAX(p),p,0)),""))))</f>
        <v/>
      </c>
    </row>
    <row r="183">
      <c r="B183">
        <f>IF($A183="","",XLOOKUP($A183,Clients!$A:$A,Clients!$D:$D)&amp;" "&amp;XLOOKUP($A183,Clients!$A:$A,Clients!$E:$E))</f>
        <v/>
      </c>
      <c r="C183">
        <f>IF($A183="","",DATEDIF(XLOOKUP($A183,Clients!$A:$A,Clients!$F:$F),VAL_DATE,"Y"))</f>
        <v/>
      </c>
      <c r="D183">
        <f>IF(OR($A183="",E183=""),"",E183-C183)</f>
        <v/>
      </c>
      <c r="E183">
        <f>IF($A183="","",XLOOKUP($A183,RetirementPlan!$B:$B,RetirementPlan!$C:$C,""))</f>
        <v/>
      </c>
      <c r="F183" s="9">
        <f>IF(OR($A183="",D183=""),"",FV(IF(IFERROR(XLOOKUP($A183,RetirementPlan!$B:$B,RetirementPlan!$K:$K,""),"")="",GROWTH,IFERROR(XLOOKUP($A183,RetirementPlan!$B:$B,RetirementPlan!$K:$K,""),"")),D183,-N(XLOOKUP($A183,RetirementPlan!$B:$B,RetirementPlan!$I:$I,0)),-SUMIFS(Assets!$J:$J,Assets!$B:$B,$A183,Assets!$R:$R,"Yes"),0))</f>
        <v/>
      </c>
      <c r="G183" s="9">
        <f>IF(OR($A183="",I183=""),"",MAX(0,(I183-J183)/IF(IFERROR(XLOOKUP($A183,RetirementPlan!$B:$B,RetirementPlan!$M:$M,""),"")="",SWR,IFERROR(XLOOKUP($A183,RetirementPlan!$B:$B,RetirementPlan!$M:$M,""),""))))</f>
        <v/>
      </c>
      <c r="H183" s="9">
        <f>IF(OR($A183="",F183="",G183=""),"",F183-G183)</f>
        <v/>
      </c>
      <c r="I183" s="9">
        <f>IF($A183="","",XLOOKUP($A183,RetirementPlan!$B:$B,RetirementPlan!$E:$E,""))</f>
        <v/>
      </c>
      <c r="J183" s="9">
        <f>IF($A183="","",N(XLOOKUP($A183,RetirementPlan!$B:$B,RetirementPlan!$G:$G,0))+N(XLOOKUP($A183,RetirementPlan!$B:$B,RetirementPlan!$H:$H,0)))</f>
        <v/>
      </c>
      <c r="K183">
        <f>IF($A183="","",IF(NOT(ISBLANK(XLOOKUP($A183,RetirementPlan!$B:$B,RetirementPlan!$N:$N,""))),XLOOKUP($A183,RetirementPlan!$B:$B,RetirementPlan!$N:$N,""),LET(cid,$A183,c,FILTER(LocationPlan!$D:$D,LocationPlan!$C:$C=cid),p,FILTER(LocationPlan!$E:$E,LocationPlan!$C:$C=cid),IFERROR(INDEX(c,MATCH(MAX(p),p,0)),""))))</f>
        <v/>
      </c>
    </row>
    <row r="184">
      <c r="B184">
        <f>IF($A184="","",XLOOKUP($A184,Clients!$A:$A,Clients!$D:$D)&amp;" "&amp;XLOOKUP($A184,Clients!$A:$A,Clients!$E:$E))</f>
        <v/>
      </c>
      <c r="C184">
        <f>IF($A184="","",DATEDIF(XLOOKUP($A184,Clients!$A:$A,Clients!$F:$F),VAL_DATE,"Y"))</f>
        <v/>
      </c>
      <c r="D184">
        <f>IF(OR($A184="",E184=""),"",E184-C184)</f>
        <v/>
      </c>
      <c r="E184">
        <f>IF($A184="","",XLOOKUP($A184,RetirementPlan!$B:$B,RetirementPlan!$C:$C,""))</f>
        <v/>
      </c>
      <c r="F184" s="9">
        <f>IF(OR($A184="",D184=""),"",FV(IF(IFERROR(XLOOKUP($A184,RetirementPlan!$B:$B,RetirementPlan!$K:$K,""),"")="",GROWTH,IFERROR(XLOOKUP($A184,RetirementPlan!$B:$B,RetirementPlan!$K:$K,""),"")),D184,-N(XLOOKUP($A184,RetirementPlan!$B:$B,RetirementPlan!$I:$I,0)),-SUMIFS(Assets!$J:$J,Assets!$B:$B,$A184,Assets!$R:$R,"Yes"),0))</f>
        <v/>
      </c>
      <c r="G184" s="9">
        <f>IF(OR($A184="",I184=""),"",MAX(0,(I184-J184)/IF(IFERROR(XLOOKUP($A184,RetirementPlan!$B:$B,RetirementPlan!$M:$M,""),"")="",SWR,IFERROR(XLOOKUP($A184,RetirementPlan!$B:$B,RetirementPlan!$M:$M,""),""))))</f>
        <v/>
      </c>
      <c r="H184" s="9">
        <f>IF(OR($A184="",F184="",G184=""),"",F184-G184)</f>
        <v/>
      </c>
      <c r="I184" s="9">
        <f>IF($A184="","",XLOOKUP($A184,RetirementPlan!$B:$B,RetirementPlan!$E:$E,""))</f>
        <v/>
      </c>
      <c r="J184" s="9">
        <f>IF($A184="","",N(XLOOKUP($A184,RetirementPlan!$B:$B,RetirementPlan!$G:$G,0))+N(XLOOKUP($A184,RetirementPlan!$B:$B,RetirementPlan!$H:$H,0)))</f>
        <v/>
      </c>
      <c r="K184">
        <f>IF($A184="","",IF(NOT(ISBLANK(XLOOKUP($A184,RetirementPlan!$B:$B,RetirementPlan!$N:$N,""))),XLOOKUP($A184,RetirementPlan!$B:$B,RetirementPlan!$N:$N,""),LET(cid,$A184,c,FILTER(LocationPlan!$D:$D,LocationPlan!$C:$C=cid),p,FILTER(LocationPlan!$E:$E,LocationPlan!$C:$C=cid),IFERROR(INDEX(c,MATCH(MAX(p),p,0)),""))))</f>
        <v/>
      </c>
    </row>
    <row r="185">
      <c r="B185">
        <f>IF($A185="","",XLOOKUP($A185,Clients!$A:$A,Clients!$D:$D)&amp;" "&amp;XLOOKUP($A185,Clients!$A:$A,Clients!$E:$E))</f>
        <v/>
      </c>
      <c r="C185">
        <f>IF($A185="","",DATEDIF(XLOOKUP($A185,Clients!$A:$A,Clients!$F:$F),VAL_DATE,"Y"))</f>
        <v/>
      </c>
      <c r="D185">
        <f>IF(OR($A185="",E185=""),"",E185-C185)</f>
        <v/>
      </c>
      <c r="E185">
        <f>IF($A185="","",XLOOKUP($A185,RetirementPlan!$B:$B,RetirementPlan!$C:$C,""))</f>
        <v/>
      </c>
      <c r="F185" s="9">
        <f>IF(OR($A185="",D185=""),"",FV(IF(IFERROR(XLOOKUP($A185,RetirementPlan!$B:$B,RetirementPlan!$K:$K,""),"")="",GROWTH,IFERROR(XLOOKUP($A185,RetirementPlan!$B:$B,RetirementPlan!$K:$K,""),"")),D185,-N(XLOOKUP($A185,RetirementPlan!$B:$B,RetirementPlan!$I:$I,0)),-SUMIFS(Assets!$J:$J,Assets!$B:$B,$A185,Assets!$R:$R,"Yes"),0))</f>
        <v/>
      </c>
      <c r="G185" s="9">
        <f>IF(OR($A185="",I185=""),"",MAX(0,(I185-J185)/IF(IFERROR(XLOOKUP($A185,RetirementPlan!$B:$B,RetirementPlan!$M:$M,""),"")="",SWR,IFERROR(XLOOKUP($A185,RetirementPlan!$B:$B,RetirementPlan!$M:$M,""),""))))</f>
        <v/>
      </c>
      <c r="H185" s="9">
        <f>IF(OR($A185="",F185="",G185=""),"",F185-G185)</f>
        <v/>
      </c>
      <c r="I185" s="9">
        <f>IF($A185="","",XLOOKUP($A185,RetirementPlan!$B:$B,RetirementPlan!$E:$E,""))</f>
        <v/>
      </c>
      <c r="J185" s="9">
        <f>IF($A185="","",N(XLOOKUP($A185,RetirementPlan!$B:$B,RetirementPlan!$G:$G,0))+N(XLOOKUP($A185,RetirementPlan!$B:$B,RetirementPlan!$H:$H,0)))</f>
        <v/>
      </c>
      <c r="K185">
        <f>IF($A185="","",IF(NOT(ISBLANK(XLOOKUP($A185,RetirementPlan!$B:$B,RetirementPlan!$N:$N,""))),XLOOKUP($A185,RetirementPlan!$B:$B,RetirementPlan!$N:$N,""),LET(cid,$A185,c,FILTER(LocationPlan!$D:$D,LocationPlan!$C:$C=cid),p,FILTER(LocationPlan!$E:$E,LocationPlan!$C:$C=cid),IFERROR(INDEX(c,MATCH(MAX(p),p,0)),""))))</f>
        <v/>
      </c>
    </row>
    <row r="186">
      <c r="B186">
        <f>IF($A186="","",XLOOKUP($A186,Clients!$A:$A,Clients!$D:$D)&amp;" "&amp;XLOOKUP($A186,Clients!$A:$A,Clients!$E:$E))</f>
        <v/>
      </c>
      <c r="C186">
        <f>IF($A186="","",DATEDIF(XLOOKUP($A186,Clients!$A:$A,Clients!$F:$F),VAL_DATE,"Y"))</f>
        <v/>
      </c>
      <c r="D186">
        <f>IF(OR($A186="",E186=""),"",E186-C186)</f>
        <v/>
      </c>
      <c r="E186">
        <f>IF($A186="","",XLOOKUP($A186,RetirementPlan!$B:$B,RetirementPlan!$C:$C,""))</f>
        <v/>
      </c>
      <c r="F186" s="9">
        <f>IF(OR($A186="",D186=""),"",FV(IF(IFERROR(XLOOKUP($A186,RetirementPlan!$B:$B,RetirementPlan!$K:$K,""),"")="",GROWTH,IFERROR(XLOOKUP($A186,RetirementPlan!$B:$B,RetirementPlan!$K:$K,""),"")),D186,-N(XLOOKUP($A186,RetirementPlan!$B:$B,RetirementPlan!$I:$I,0)),-SUMIFS(Assets!$J:$J,Assets!$B:$B,$A186,Assets!$R:$R,"Yes"),0))</f>
        <v/>
      </c>
      <c r="G186" s="9">
        <f>IF(OR($A186="",I186=""),"",MAX(0,(I186-J186)/IF(IFERROR(XLOOKUP($A186,RetirementPlan!$B:$B,RetirementPlan!$M:$M,""),"")="",SWR,IFERROR(XLOOKUP($A186,RetirementPlan!$B:$B,RetirementPlan!$M:$M,""),""))))</f>
        <v/>
      </c>
      <c r="H186" s="9">
        <f>IF(OR($A186="",F186="",G186=""),"",F186-G186)</f>
        <v/>
      </c>
      <c r="I186" s="9">
        <f>IF($A186="","",XLOOKUP($A186,RetirementPlan!$B:$B,RetirementPlan!$E:$E,""))</f>
        <v/>
      </c>
      <c r="J186" s="9">
        <f>IF($A186="","",N(XLOOKUP($A186,RetirementPlan!$B:$B,RetirementPlan!$G:$G,0))+N(XLOOKUP($A186,RetirementPlan!$B:$B,RetirementPlan!$H:$H,0)))</f>
        <v/>
      </c>
      <c r="K186">
        <f>IF($A186="","",IF(NOT(ISBLANK(XLOOKUP($A186,RetirementPlan!$B:$B,RetirementPlan!$N:$N,""))),XLOOKUP($A186,RetirementPlan!$B:$B,RetirementPlan!$N:$N,""),LET(cid,$A186,c,FILTER(LocationPlan!$D:$D,LocationPlan!$C:$C=cid),p,FILTER(LocationPlan!$E:$E,LocationPlan!$C:$C=cid),IFERROR(INDEX(c,MATCH(MAX(p),p,0)),""))))</f>
        <v/>
      </c>
    </row>
    <row r="187">
      <c r="B187">
        <f>IF($A187="","",XLOOKUP($A187,Clients!$A:$A,Clients!$D:$D)&amp;" "&amp;XLOOKUP($A187,Clients!$A:$A,Clients!$E:$E))</f>
        <v/>
      </c>
      <c r="C187">
        <f>IF($A187="","",DATEDIF(XLOOKUP($A187,Clients!$A:$A,Clients!$F:$F),VAL_DATE,"Y"))</f>
        <v/>
      </c>
      <c r="D187">
        <f>IF(OR($A187="",E187=""),"",E187-C187)</f>
        <v/>
      </c>
      <c r="E187">
        <f>IF($A187="","",XLOOKUP($A187,RetirementPlan!$B:$B,RetirementPlan!$C:$C,""))</f>
        <v/>
      </c>
      <c r="F187" s="9">
        <f>IF(OR($A187="",D187=""),"",FV(IF(IFERROR(XLOOKUP($A187,RetirementPlan!$B:$B,RetirementPlan!$K:$K,""),"")="",GROWTH,IFERROR(XLOOKUP($A187,RetirementPlan!$B:$B,RetirementPlan!$K:$K,""),"")),D187,-N(XLOOKUP($A187,RetirementPlan!$B:$B,RetirementPlan!$I:$I,0)),-SUMIFS(Assets!$J:$J,Assets!$B:$B,$A187,Assets!$R:$R,"Yes"),0))</f>
        <v/>
      </c>
      <c r="G187" s="9">
        <f>IF(OR($A187="",I187=""),"",MAX(0,(I187-J187)/IF(IFERROR(XLOOKUP($A187,RetirementPlan!$B:$B,RetirementPlan!$M:$M,""),"")="",SWR,IFERROR(XLOOKUP($A187,RetirementPlan!$B:$B,RetirementPlan!$M:$M,""),""))))</f>
        <v/>
      </c>
      <c r="H187" s="9">
        <f>IF(OR($A187="",F187="",G187=""),"",F187-G187)</f>
        <v/>
      </c>
      <c r="I187" s="9">
        <f>IF($A187="","",XLOOKUP($A187,RetirementPlan!$B:$B,RetirementPlan!$E:$E,""))</f>
        <v/>
      </c>
      <c r="J187" s="9">
        <f>IF($A187="","",N(XLOOKUP($A187,RetirementPlan!$B:$B,RetirementPlan!$G:$G,0))+N(XLOOKUP($A187,RetirementPlan!$B:$B,RetirementPlan!$H:$H,0)))</f>
        <v/>
      </c>
      <c r="K187">
        <f>IF($A187="","",IF(NOT(ISBLANK(XLOOKUP($A187,RetirementPlan!$B:$B,RetirementPlan!$N:$N,""))),XLOOKUP($A187,RetirementPlan!$B:$B,RetirementPlan!$N:$N,""),LET(cid,$A187,c,FILTER(LocationPlan!$D:$D,LocationPlan!$C:$C=cid),p,FILTER(LocationPlan!$E:$E,LocationPlan!$C:$C=cid),IFERROR(INDEX(c,MATCH(MAX(p),p,0)),""))))</f>
        <v/>
      </c>
    </row>
    <row r="188">
      <c r="B188">
        <f>IF($A188="","",XLOOKUP($A188,Clients!$A:$A,Clients!$D:$D)&amp;" "&amp;XLOOKUP($A188,Clients!$A:$A,Clients!$E:$E))</f>
        <v/>
      </c>
      <c r="C188">
        <f>IF($A188="","",DATEDIF(XLOOKUP($A188,Clients!$A:$A,Clients!$F:$F),VAL_DATE,"Y"))</f>
        <v/>
      </c>
      <c r="D188">
        <f>IF(OR($A188="",E188=""),"",E188-C188)</f>
        <v/>
      </c>
      <c r="E188">
        <f>IF($A188="","",XLOOKUP($A188,RetirementPlan!$B:$B,RetirementPlan!$C:$C,""))</f>
        <v/>
      </c>
      <c r="F188" s="9">
        <f>IF(OR($A188="",D188=""),"",FV(IF(IFERROR(XLOOKUP($A188,RetirementPlan!$B:$B,RetirementPlan!$K:$K,""),"")="",GROWTH,IFERROR(XLOOKUP($A188,RetirementPlan!$B:$B,RetirementPlan!$K:$K,""),"")),D188,-N(XLOOKUP($A188,RetirementPlan!$B:$B,RetirementPlan!$I:$I,0)),-SUMIFS(Assets!$J:$J,Assets!$B:$B,$A188,Assets!$R:$R,"Yes"),0))</f>
        <v/>
      </c>
      <c r="G188" s="9">
        <f>IF(OR($A188="",I188=""),"",MAX(0,(I188-J188)/IF(IFERROR(XLOOKUP($A188,RetirementPlan!$B:$B,RetirementPlan!$M:$M,""),"")="",SWR,IFERROR(XLOOKUP($A188,RetirementPlan!$B:$B,RetirementPlan!$M:$M,""),""))))</f>
        <v/>
      </c>
      <c r="H188" s="9">
        <f>IF(OR($A188="",F188="",G188=""),"",F188-G188)</f>
        <v/>
      </c>
      <c r="I188" s="9">
        <f>IF($A188="","",XLOOKUP($A188,RetirementPlan!$B:$B,RetirementPlan!$E:$E,""))</f>
        <v/>
      </c>
      <c r="J188" s="9">
        <f>IF($A188="","",N(XLOOKUP($A188,RetirementPlan!$B:$B,RetirementPlan!$G:$G,0))+N(XLOOKUP($A188,RetirementPlan!$B:$B,RetirementPlan!$H:$H,0)))</f>
        <v/>
      </c>
      <c r="K188">
        <f>IF($A188="","",IF(NOT(ISBLANK(XLOOKUP($A188,RetirementPlan!$B:$B,RetirementPlan!$N:$N,""))),XLOOKUP($A188,RetirementPlan!$B:$B,RetirementPlan!$N:$N,""),LET(cid,$A188,c,FILTER(LocationPlan!$D:$D,LocationPlan!$C:$C=cid),p,FILTER(LocationPlan!$E:$E,LocationPlan!$C:$C=cid),IFERROR(INDEX(c,MATCH(MAX(p),p,0)),""))))</f>
        <v/>
      </c>
    </row>
    <row r="189">
      <c r="B189">
        <f>IF($A189="","",XLOOKUP($A189,Clients!$A:$A,Clients!$D:$D)&amp;" "&amp;XLOOKUP($A189,Clients!$A:$A,Clients!$E:$E))</f>
        <v/>
      </c>
      <c r="C189">
        <f>IF($A189="","",DATEDIF(XLOOKUP($A189,Clients!$A:$A,Clients!$F:$F),VAL_DATE,"Y"))</f>
        <v/>
      </c>
      <c r="D189">
        <f>IF(OR($A189="",E189=""),"",E189-C189)</f>
        <v/>
      </c>
      <c r="E189">
        <f>IF($A189="","",XLOOKUP($A189,RetirementPlan!$B:$B,RetirementPlan!$C:$C,""))</f>
        <v/>
      </c>
      <c r="F189" s="9">
        <f>IF(OR($A189="",D189=""),"",FV(IF(IFERROR(XLOOKUP($A189,RetirementPlan!$B:$B,RetirementPlan!$K:$K,""),"")="",GROWTH,IFERROR(XLOOKUP($A189,RetirementPlan!$B:$B,RetirementPlan!$K:$K,""),"")),D189,-N(XLOOKUP($A189,RetirementPlan!$B:$B,RetirementPlan!$I:$I,0)),-SUMIFS(Assets!$J:$J,Assets!$B:$B,$A189,Assets!$R:$R,"Yes"),0))</f>
        <v/>
      </c>
      <c r="G189" s="9">
        <f>IF(OR($A189="",I189=""),"",MAX(0,(I189-J189)/IF(IFERROR(XLOOKUP($A189,RetirementPlan!$B:$B,RetirementPlan!$M:$M,""),"")="",SWR,IFERROR(XLOOKUP($A189,RetirementPlan!$B:$B,RetirementPlan!$M:$M,""),""))))</f>
        <v/>
      </c>
      <c r="H189" s="9">
        <f>IF(OR($A189="",F189="",G189=""),"",F189-G189)</f>
        <v/>
      </c>
      <c r="I189" s="9">
        <f>IF($A189="","",XLOOKUP($A189,RetirementPlan!$B:$B,RetirementPlan!$E:$E,""))</f>
        <v/>
      </c>
      <c r="J189" s="9">
        <f>IF($A189="","",N(XLOOKUP($A189,RetirementPlan!$B:$B,RetirementPlan!$G:$G,0))+N(XLOOKUP($A189,RetirementPlan!$B:$B,RetirementPlan!$H:$H,0)))</f>
        <v/>
      </c>
      <c r="K189">
        <f>IF($A189="","",IF(NOT(ISBLANK(XLOOKUP($A189,RetirementPlan!$B:$B,RetirementPlan!$N:$N,""))),XLOOKUP($A189,RetirementPlan!$B:$B,RetirementPlan!$N:$N,""),LET(cid,$A189,c,FILTER(LocationPlan!$D:$D,LocationPlan!$C:$C=cid),p,FILTER(LocationPlan!$E:$E,LocationPlan!$C:$C=cid),IFERROR(INDEX(c,MATCH(MAX(p),p,0)),""))))</f>
        <v/>
      </c>
    </row>
    <row r="190">
      <c r="B190">
        <f>IF($A190="","",XLOOKUP($A190,Clients!$A:$A,Clients!$D:$D)&amp;" "&amp;XLOOKUP($A190,Clients!$A:$A,Clients!$E:$E))</f>
        <v/>
      </c>
      <c r="C190">
        <f>IF($A190="","",DATEDIF(XLOOKUP($A190,Clients!$A:$A,Clients!$F:$F),VAL_DATE,"Y"))</f>
        <v/>
      </c>
      <c r="D190">
        <f>IF(OR($A190="",E190=""),"",E190-C190)</f>
        <v/>
      </c>
      <c r="E190">
        <f>IF($A190="","",XLOOKUP($A190,RetirementPlan!$B:$B,RetirementPlan!$C:$C,""))</f>
        <v/>
      </c>
      <c r="F190" s="9">
        <f>IF(OR($A190="",D190=""),"",FV(IF(IFERROR(XLOOKUP($A190,RetirementPlan!$B:$B,RetirementPlan!$K:$K,""),"")="",GROWTH,IFERROR(XLOOKUP($A190,RetirementPlan!$B:$B,RetirementPlan!$K:$K,""),"")),D190,-N(XLOOKUP($A190,RetirementPlan!$B:$B,RetirementPlan!$I:$I,0)),-SUMIFS(Assets!$J:$J,Assets!$B:$B,$A190,Assets!$R:$R,"Yes"),0))</f>
        <v/>
      </c>
      <c r="G190" s="9">
        <f>IF(OR($A190="",I190=""),"",MAX(0,(I190-J190)/IF(IFERROR(XLOOKUP($A190,RetirementPlan!$B:$B,RetirementPlan!$M:$M,""),"")="",SWR,IFERROR(XLOOKUP($A190,RetirementPlan!$B:$B,RetirementPlan!$M:$M,""),""))))</f>
        <v/>
      </c>
      <c r="H190" s="9">
        <f>IF(OR($A190="",F190="",G190=""),"",F190-G190)</f>
        <v/>
      </c>
      <c r="I190" s="9">
        <f>IF($A190="","",XLOOKUP($A190,RetirementPlan!$B:$B,RetirementPlan!$E:$E,""))</f>
        <v/>
      </c>
      <c r="J190" s="9">
        <f>IF($A190="","",N(XLOOKUP($A190,RetirementPlan!$B:$B,RetirementPlan!$G:$G,0))+N(XLOOKUP($A190,RetirementPlan!$B:$B,RetirementPlan!$H:$H,0)))</f>
        <v/>
      </c>
      <c r="K190">
        <f>IF($A190="","",IF(NOT(ISBLANK(XLOOKUP($A190,RetirementPlan!$B:$B,RetirementPlan!$N:$N,""))),XLOOKUP($A190,RetirementPlan!$B:$B,RetirementPlan!$N:$N,""),LET(cid,$A190,c,FILTER(LocationPlan!$D:$D,LocationPlan!$C:$C=cid),p,FILTER(LocationPlan!$E:$E,LocationPlan!$C:$C=cid),IFERROR(INDEX(c,MATCH(MAX(p),p,0)),""))))</f>
        <v/>
      </c>
    </row>
    <row r="191">
      <c r="B191">
        <f>IF($A191="","",XLOOKUP($A191,Clients!$A:$A,Clients!$D:$D)&amp;" "&amp;XLOOKUP($A191,Clients!$A:$A,Clients!$E:$E))</f>
        <v/>
      </c>
      <c r="C191">
        <f>IF($A191="","",DATEDIF(XLOOKUP($A191,Clients!$A:$A,Clients!$F:$F),VAL_DATE,"Y"))</f>
        <v/>
      </c>
      <c r="D191">
        <f>IF(OR($A191="",E191=""),"",E191-C191)</f>
        <v/>
      </c>
      <c r="E191">
        <f>IF($A191="","",XLOOKUP($A191,RetirementPlan!$B:$B,RetirementPlan!$C:$C,""))</f>
        <v/>
      </c>
      <c r="F191" s="9">
        <f>IF(OR($A191="",D191=""),"",FV(IF(IFERROR(XLOOKUP($A191,RetirementPlan!$B:$B,RetirementPlan!$K:$K,""),"")="",GROWTH,IFERROR(XLOOKUP($A191,RetirementPlan!$B:$B,RetirementPlan!$K:$K,""),"")),D191,-N(XLOOKUP($A191,RetirementPlan!$B:$B,RetirementPlan!$I:$I,0)),-SUMIFS(Assets!$J:$J,Assets!$B:$B,$A191,Assets!$R:$R,"Yes"),0))</f>
        <v/>
      </c>
      <c r="G191" s="9">
        <f>IF(OR($A191="",I191=""),"",MAX(0,(I191-J191)/IF(IFERROR(XLOOKUP($A191,RetirementPlan!$B:$B,RetirementPlan!$M:$M,""),"")="",SWR,IFERROR(XLOOKUP($A191,RetirementPlan!$B:$B,RetirementPlan!$M:$M,""),""))))</f>
        <v/>
      </c>
      <c r="H191" s="9">
        <f>IF(OR($A191="",F191="",G191=""),"",F191-G191)</f>
        <v/>
      </c>
      <c r="I191" s="9">
        <f>IF($A191="","",XLOOKUP($A191,RetirementPlan!$B:$B,RetirementPlan!$E:$E,""))</f>
        <v/>
      </c>
      <c r="J191" s="9">
        <f>IF($A191="","",N(XLOOKUP($A191,RetirementPlan!$B:$B,RetirementPlan!$G:$G,0))+N(XLOOKUP($A191,RetirementPlan!$B:$B,RetirementPlan!$H:$H,0)))</f>
        <v/>
      </c>
      <c r="K191">
        <f>IF($A191="","",IF(NOT(ISBLANK(XLOOKUP($A191,RetirementPlan!$B:$B,RetirementPlan!$N:$N,""))),XLOOKUP($A191,RetirementPlan!$B:$B,RetirementPlan!$N:$N,""),LET(cid,$A191,c,FILTER(LocationPlan!$D:$D,LocationPlan!$C:$C=cid),p,FILTER(LocationPlan!$E:$E,LocationPlan!$C:$C=cid),IFERROR(INDEX(c,MATCH(MAX(p),p,0)),""))))</f>
        <v/>
      </c>
    </row>
    <row r="192">
      <c r="B192">
        <f>IF($A192="","",XLOOKUP($A192,Clients!$A:$A,Clients!$D:$D)&amp;" "&amp;XLOOKUP($A192,Clients!$A:$A,Clients!$E:$E))</f>
        <v/>
      </c>
      <c r="C192">
        <f>IF($A192="","",DATEDIF(XLOOKUP($A192,Clients!$A:$A,Clients!$F:$F),VAL_DATE,"Y"))</f>
        <v/>
      </c>
      <c r="D192">
        <f>IF(OR($A192="",E192=""),"",E192-C192)</f>
        <v/>
      </c>
      <c r="E192">
        <f>IF($A192="","",XLOOKUP($A192,RetirementPlan!$B:$B,RetirementPlan!$C:$C,""))</f>
        <v/>
      </c>
      <c r="F192" s="9">
        <f>IF(OR($A192="",D192=""),"",FV(IF(IFERROR(XLOOKUP($A192,RetirementPlan!$B:$B,RetirementPlan!$K:$K,""),"")="",GROWTH,IFERROR(XLOOKUP($A192,RetirementPlan!$B:$B,RetirementPlan!$K:$K,""),"")),D192,-N(XLOOKUP($A192,RetirementPlan!$B:$B,RetirementPlan!$I:$I,0)),-SUMIFS(Assets!$J:$J,Assets!$B:$B,$A192,Assets!$R:$R,"Yes"),0))</f>
        <v/>
      </c>
      <c r="G192" s="9">
        <f>IF(OR($A192="",I192=""),"",MAX(0,(I192-J192)/IF(IFERROR(XLOOKUP($A192,RetirementPlan!$B:$B,RetirementPlan!$M:$M,""),"")="",SWR,IFERROR(XLOOKUP($A192,RetirementPlan!$B:$B,RetirementPlan!$M:$M,""),""))))</f>
        <v/>
      </c>
      <c r="H192" s="9">
        <f>IF(OR($A192="",F192="",G192=""),"",F192-G192)</f>
        <v/>
      </c>
      <c r="I192" s="9">
        <f>IF($A192="","",XLOOKUP($A192,RetirementPlan!$B:$B,RetirementPlan!$E:$E,""))</f>
        <v/>
      </c>
      <c r="J192" s="9">
        <f>IF($A192="","",N(XLOOKUP($A192,RetirementPlan!$B:$B,RetirementPlan!$G:$G,0))+N(XLOOKUP($A192,RetirementPlan!$B:$B,RetirementPlan!$H:$H,0)))</f>
        <v/>
      </c>
      <c r="K192">
        <f>IF($A192="","",IF(NOT(ISBLANK(XLOOKUP($A192,RetirementPlan!$B:$B,RetirementPlan!$N:$N,""))),XLOOKUP($A192,RetirementPlan!$B:$B,RetirementPlan!$N:$N,""),LET(cid,$A192,c,FILTER(LocationPlan!$D:$D,LocationPlan!$C:$C=cid),p,FILTER(LocationPlan!$E:$E,LocationPlan!$C:$C=cid),IFERROR(INDEX(c,MATCH(MAX(p),p,0)),""))))</f>
        <v/>
      </c>
    </row>
    <row r="193">
      <c r="B193">
        <f>IF($A193="","",XLOOKUP($A193,Clients!$A:$A,Clients!$D:$D)&amp;" "&amp;XLOOKUP($A193,Clients!$A:$A,Clients!$E:$E))</f>
        <v/>
      </c>
      <c r="C193">
        <f>IF($A193="","",DATEDIF(XLOOKUP($A193,Clients!$A:$A,Clients!$F:$F),VAL_DATE,"Y"))</f>
        <v/>
      </c>
      <c r="D193">
        <f>IF(OR($A193="",E193=""),"",E193-C193)</f>
        <v/>
      </c>
      <c r="E193">
        <f>IF($A193="","",XLOOKUP($A193,RetirementPlan!$B:$B,RetirementPlan!$C:$C,""))</f>
        <v/>
      </c>
      <c r="F193" s="9">
        <f>IF(OR($A193="",D193=""),"",FV(IF(IFERROR(XLOOKUP($A193,RetirementPlan!$B:$B,RetirementPlan!$K:$K,""),"")="",GROWTH,IFERROR(XLOOKUP($A193,RetirementPlan!$B:$B,RetirementPlan!$K:$K,""),"")),D193,-N(XLOOKUP($A193,RetirementPlan!$B:$B,RetirementPlan!$I:$I,0)),-SUMIFS(Assets!$J:$J,Assets!$B:$B,$A193,Assets!$R:$R,"Yes"),0))</f>
        <v/>
      </c>
      <c r="G193" s="9">
        <f>IF(OR($A193="",I193=""),"",MAX(0,(I193-J193)/IF(IFERROR(XLOOKUP($A193,RetirementPlan!$B:$B,RetirementPlan!$M:$M,""),"")="",SWR,IFERROR(XLOOKUP($A193,RetirementPlan!$B:$B,RetirementPlan!$M:$M,""),""))))</f>
        <v/>
      </c>
      <c r="H193" s="9">
        <f>IF(OR($A193="",F193="",G193=""),"",F193-G193)</f>
        <v/>
      </c>
      <c r="I193" s="9">
        <f>IF($A193="","",XLOOKUP($A193,RetirementPlan!$B:$B,RetirementPlan!$E:$E,""))</f>
        <v/>
      </c>
      <c r="J193" s="9">
        <f>IF($A193="","",N(XLOOKUP($A193,RetirementPlan!$B:$B,RetirementPlan!$G:$G,0))+N(XLOOKUP($A193,RetirementPlan!$B:$B,RetirementPlan!$H:$H,0)))</f>
        <v/>
      </c>
      <c r="K193">
        <f>IF($A193="","",IF(NOT(ISBLANK(XLOOKUP($A193,RetirementPlan!$B:$B,RetirementPlan!$N:$N,""))),XLOOKUP($A193,RetirementPlan!$B:$B,RetirementPlan!$N:$N,""),LET(cid,$A193,c,FILTER(LocationPlan!$D:$D,LocationPlan!$C:$C=cid),p,FILTER(LocationPlan!$E:$E,LocationPlan!$C:$C=cid),IFERROR(INDEX(c,MATCH(MAX(p),p,0)),""))))</f>
        <v/>
      </c>
    </row>
    <row r="194">
      <c r="B194">
        <f>IF($A194="","",XLOOKUP($A194,Clients!$A:$A,Clients!$D:$D)&amp;" "&amp;XLOOKUP($A194,Clients!$A:$A,Clients!$E:$E))</f>
        <v/>
      </c>
      <c r="C194">
        <f>IF($A194="","",DATEDIF(XLOOKUP($A194,Clients!$A:$A,Clients!$F:$F),VAL_DATE,"Y"))</f>
        <v/>
      </c>
      <c r="D194">
        <f>IF(OR($A194="",E194=""),"",E194-C194)</f>
        <v/>
      </c>
      <c r="E194">
        <f>IF($A194="","",XLOOKUP($A194,RetirementPlan!$B:$B,RetirementPlan!$C:$C,""))</f>
        <v/>
      </c>
      <c r="F194" s="9">
        <f>IF(OR($A194="",D194=""),"",FV(IF(IFERROR(XLOOKUP($A194,RetirementPlan!$B:$B,RetirementPlan!$K:$K,""),"")="",GROWTH,IFERROR(XLOOKUP($A194,RetirementPlan!$B:$B,RetirementPlan!$K:$K,""),"")),D194,-N(XLOOKUP($A194,RetirementPlan!$B:$B,RetirementPlan!$I:$I,0)),-SUMIFS(Assets!$J:$J,Assets!$B:$B,$A194,Assets!$R:$R,"Yes"),0))</f>
        <v/>
      </c>
      <c r="G194" s="9">
        <f>IF(OR($A194="",I194=""),"",MAX(0,(I194-J194)/IF(IFERROR(XLOOKUP($A194,RetirementPlan!$B:$B,RetirementPlan!$M:$M,""),"")="",SWR,IFERROR(XLOOKUP($A194,RetirementPlan!$B:$B,RetirementPlan!$M:$M,""),""))))</f>
        <v/>
      </c>
      <c r="H194" s="9">
        <f>IF(OR($A194="",F194="",G194=""),"",F194-G194)</f>
        <v/>
      </c>
      <c r="I194" s="9">
        <f>IF($A194="","",XLOOKUP($A194,RetirementPlan!$B:$B,RetirementPlan!$E:$E,""))</f>
        <v/>
      </c>
      <c r="J194" s="9">
        <f>IF($A194="","",N(XLOOKUP($A194,RetirementPlan!$B:$B,RetirementPlan!$G:$G,0))+N(XLOOKUP($A194,RetirementPlan!$B:$B,RetirementPlan!$H:$H,0)))</f>
        <v/>
      </c>
      <c r="K194">
        <f>IF($A194="","",IF(NOT(ISBLANK(XLOOKUP($A194,RetirementPlan!$B:$B,RetirementPlan!$N:$N,""))),XLOOKUP($A194,RetirementPlan!$B:$B,RetirementPlan!$N:$N,""),LET(cid,$A194,c,FILTER(LocationPlan!$D:$D,LocationPlan!$C:$C=cid),p,FILTER(LocationPlan!$E:$E,LocationPlan!$C:$C=cid),IFERROR(INDEX(c,MATCH(MAX(p),p,0)),""))))</f>
        <v/>
      </c>
    </row>
    <row r="195">
      <c r="B195">
        <f>IF($A195="","",XLOOKUP($A195,Clients!$A:$A,Clients!$D:$D)&amp;" "&amp;XLOOKUP($A195,Clients!$A:$A,Clients!$E:$E))</f>
        <v/>
      </c>
      <c r="C195">
        <f>IF($A195="","",DATEDIF(XLOOKUP($A195,Clients!$A:$A,Clients!$F:$F),VAL_DATE,"Y"))</f>
        <v/>
      </c>
      <c r="D195">
        <f>IF(OR($A195="",E195=""),"",E195-C195)</f>
        <v/>
      </c>
      <c r="E195">
        <f>IF($A195="","",XLOOKUP($A195,RetirementPlan!$B:$B,RetirementPlan!$C:$C,""))</f>
        <v/>
      </c>
      <c r="F195" s="9">
        <f>IF(OR($A195="",D195=""),"",FV(IF(IFERROR(XLOOKUP($A195,RetirementPlan!$B:$B,RetirementPlan!$K:$K,""),"")="",GROWTH,IFERROR(XLOOKUP($A195,RetirementPlan!$B:$B,RetirementPlan!$K:$K,""),"")),D195,-N(XLOOKUP($A195,RetirementPlan!$B:$B,RetirementPlan!$I:$I,0)),-SUMIFS(Assets!$J:$J,Assets!$B:$B,$A195,Assets!$R:$R,"Yes"),0))</f>
        <v/>
      </c>
      <c r="G195" s="9">
        <f>IF(OR($A195="",I195=""),"",MAX(0,(I195-J195)/IF(IFERROR(XLOOKUP($A195,RetirementPlan!$B:$B,RetirementPlan!$M:$M,""),"")="",SWR,IFERROR(XLOOKUP($A195,RetirementPlan!$B:$B,RetirementPlan!$M:$M,""),""))))</f>
        <v/>
      </c>
      <c r="H195" s="9">
        <f>IF(OR($A195="",F195="",G195=""),"",F195-G195)</f>
        <v/>
      </c>
      <c r="I195" s="9">
        <f>IF($A195="","",XLOOKUP($A195,RetirementPlan!$B:$B,RetirementPlan!$E:$E,""))</f>
        <v/>
      </c>
      <c r="J195" s="9">
        <f>IF($A195="","",N(XLOOKUP($A195,RetirementPlan!$B:$B,RetirementPlan!$G:$G,0))+N(XLOOKUP($A195,RetirementPlan!$B:$B,RetirementPlan!$H:$H,0)))</f>
        <v/>
      </c>
      <c r="K195">
        <f>IF($A195="","",IF(NOT(ISBLANK(XLOOKUP($A195,RetirementPlan!$B:$B,RetirementPlan!$N:$N,""))),XLOOKUP($A195,RetirementPlan!$B:$B,RetirementPlan!$N:$N,""),LET(cid,$A195,c,FILTER(LocationPlan!$D:$D,LocationPlan!$C:$C=cid),p,FILTER(LocationPlan!$E:$E,LocationPlan!$C:$C=cid),IFERROR(INDEX(c,MATCH(MAX(p),p,0)),""))))</f>
        <v/>
      </c>
    </row>
    <row r="196">
      <c r="B196">
        <f>IF($A196="","",XLOOKUP($A196,Clients!$A:$A,Clients!$D:$D)&amp;" "&amp;XLOOKUP($A196,Clients!$A:$A,Clients!$E:$E))</f>
        <v/>
      </c>
      <c r="C196">
        <f>IF($A196="","",DATEDIF(XLOOKUP($A196,Clients!$A:$A,Clients!$F:$F),VAL_DATE,"Y"))</f>
        <v/>
      </c>
      <c r="D196">
        <f>IF(OR($A196="",E196=""),"",E196-C196)</f>
        <v/>
      </c>
      <c r="E196">
        <f>IF($A196="","",XLOOKUP($A196,RetirementPlan!$B:$B,RetirementPlan!$C:$C,""))</f>
        <v/>
      </c>
      <c r="F196" s="9">
        <f>IF(OR($A196="",D196=""),"",FV(IF(IFERROR(XLOOKUP($A196,RetirementPlan!$B:$B,RetirementPlan!$K:$K,""),"")="",GROWTH,IFERROR(XLOOKUP($A196,RetirementPlan!$B:$B,RetirementPlan!$K:$K,""),"")),D196,-N(XLOOKUP($A196,RetirementPlan!$B:$B,RetirementPlan!$I:$I,0)),-SUMIFS(Assets!$J:$J,Assets!$B:$B,$A196,Assets!$R:$R,"Yes"),0))</f>
        <v/>
      </c>
      <c r="G196" s="9">
        <f>IF(OR($A196="",I196=""),"",MAX(0,(I196-J196)/IF(IFERROR(XLOOKUP($A196,RetirementPlan!$B:$B,RetirementPlan!$M:$M,""),"")="",SWR,IFERROR(XLOOKUP($A196,RetirementPlan!$B:$B,RetirementPlan!$M:$M,""),""))))</f>
        <v/>
      </c>
      <c r="H196" s="9">
        <f>IF(OR($A196="",F196="",G196=""),"",F196-G196)</f>
        <v/>
      </c>
      <c r="I196" s="9">
        <f>IF($A196="","",XLOOKUP($A196,RetirementPlan!$B:$B,RetirementPlan!$E:$E,""))</f>
        <v/>
      </c>
      <c r="J196" s="9">
        <f>IF($A196="","",N(XLOOKUP($A196,RetirementPlan!$B:$B,RetirementPlan!$G:$G,0))+N(XLOOKUP($A196,RetirementPlan!$B:$B,RetirementPlan!$H:$H,0)))</f>
        <v/>
      </c>
      <c r="K196">
        <f>IF($A196="","",IF(NOT(ISBLANK(XLOOKUP($A196,RetirementPlan!$B:$B,RetirementPlan!$N:$N,""))),XLOOKUP($A196,RetirementPlan!$B:$B,RetirementPlan!$N:$N,""),LET(cid,$A196,c,FILTER(LocationPlan!$D:$D,LocationPlan!$C:$C=cid),p,FILTER(LocationPlan!$E:$E,LocationPlan!$C:$C=cid),IFERROR(INDEX(c,MATCH(MAX(p),p,0)),""))))</f>
        <v/>
      </c>
    </row>
    <row r="197">
      <c r="B197">
        <f>IF($A197="","",XLOOKUP($A197,Clients!$A:$A,Clients!$D:$D)&amp;" "&amp;XLOOKUP($A197,Clients!$A:$A,Clients!$E:$E))</f>
        <v/>
      </c>
      <c r="C197">
        <f>IF($A197="","",DATEDIF(XLOOKUP($A197,Clients!$A:$A,Clients!$F:$F),VAL_DATE,"Y"))</f>
        <v/>
      </c>
      <c r="D197">
        <f>IF(OR($A197="",E197=""),"",E197-C197)</f>
        <v/>
      </c>
      <c r="E197">
        <f>IF($A197="","",XLOOKUP($A197,RetirementPlan!$B:$B,RetirementPlan!$C:$C,""))</f>
        <v/>
      </c>
      <c r="F197" s="9">
        <f>IF(OR($A197="",D197=""),"",FV(IF(IFERROR(XLOOKUP($A197,RetirementPlan!$B:$B,RetirementPlan!$K:$K,""),"")="",GROWTH,IFERROR(XLOOKUP($A197,RetirementPlan!$B:$B,RetirementPlan!$K:$K,""),"")),D197,-N(XLOOKUP($A197,RetirementPlan!$B:$B,RetirementPlan!$I:$I,0)),-SUMIFS(Assets!$J:$J,Assets!$B:$B,$A197,Assets!$R:$R,"Yes"),0))</f>
        <v/>
      </c>
      <c r="G197" s="9">
        <f>IF(OR($A197="",I197=""),"",MAX(0,(I197-J197)/IF(IFERROR(XLOOKUP($A197,RetirementPlan!$B:$B,RetirementPlan!$M:$M,""),"")="",SWR,IFERROR(XLOOKUP($A197,RetirementPlan!$B:$B,RetirementPlan!$M:$M,""),""))))</f>
        <v/>
      </c>
      <c r="H197" s="9">
        <f>IF(OR($A197="",F197="",G197=""),"",F197-G197)</f>
        <v/>
      </c>
      <c r="I197" s="9">
        <f>IF($A197="","",XLOOKUP($A197,RetirementPlan!$B:$B,RetirementPlan!$E:$E,""))</f>
        <v/>
      </c>
      <c r="J197" s="9">
        <f>IF($A197="","",N(XLOOKUP($A197,RetirementPlan!$B:$B,RetirementPlan!$G:$G,0))+N(XLOOKUP($A197,RetirementPlan!$B:$B,RetirementPlan!$H:$H,0)))</f>
        <v/>
      </c>
      <c r="K197">
        <f>IF($A197="","",IF(NOT(ISBLANK(XLOOKUP($A197,RetirementPlan!$B:$B,RetirementPlan!$N:$N,""))),XLOOKUP($A197,RetirementPlan!$B:$B,RetirementPlan!$N:$N,""),LET(cid,$A197,c,FILTER(LocationPlan!$D:$D,LocationPlan!$C:$C=cid),p,FILTER(LocationPlan!$E:$E,LocationPlan!$C:$C=cid),IFERROR(INDEX(c,MATCH(MAX(p),p,0)),""))))</f>
        <v/>
      </c>
    </row>
    <row r="198">
      <c r="B198">
        <f>IF($A198="","",XLOOKUP($A198,Clients!$A:$A,Clients!$D:$D)&amp;" "&amp;XLOOKUP($A198,Clients!$A:$A,Clients!$E:$E))</f>
        <v/>
      </c>
      <c r="C198">
        <f>IF($A198="","",DATEDIF(XLOOKUP($A198,Clients!$A:$A,Clients!$F:$F),VAL_DATE,"Y"))</f>
        <v/>
      </c>
      <c r="D198">
        <f>IF(OR($A198="",E198=""),"",E198-C198)</f>
        <v/>
      </c>
      <c r="E198">
        <f>IF($A198="","",XLOOKUP($A198,RetirementPlan!$B:$B,RetirementPlan!$C:$C,""))</f>
        <v/>
      </c>
      <c r="F198" s="9">
        <f>IF(OR($A198="",D198=""),"",FV(IF(IFERROR(XLOOKUP($A198,RetirementPlan!$B:$B,RetirementPlan!$K:$K,""),"")="",GROWTH,IFERROR(XLOOKUP($A198,RetirementPlan!$B:$B,RetirementPlan!$K:$K,""),"")),D198,-N(XLOOKUP($A198,RetirementPlan!$B:$B,RetirementPlan!$I:$I,0)),-SUMIFS(Assets!$J:$J,Assets!$B:$B,$A198,Assets!$R:$R,"Yes"),0))</f>
        <v/>
      </c>
      <c r="G198" s="9">
        <f>IF(OR($A198="",I198=""),"",MAX(0,(I198-J198)/IF(IFERROR(XLOOKUP($A198,RetirementPlan!$B:$B,RetirementPlan!$M:$M,""),"")="",SWR,IFERROR(XLOOKUP($A198,RetirementPlan!$B:$B,RetirementPlan!$M:$M,""),""))))</f>
        <v/>
      </c>
      <c r="H198" s="9">
        <f>IF(OR($A198="",F198="",G198=""),"",F198-G198)</f>
        <v/>
      </c>
      <c r="I198" s="9">
        <f>IF($A198="","",XLOOKUP($A198,RetirementPlan!$B:$B,RetirementPlan!$E:$E,""))</f>
        <v/>
      </c>
      <c r="J198" s="9">
        <f>IF($A198="","",N(XLOOKUP($A198,RetirementPlan!$B:$B,RetirementPlan!$G:$G,0))+N(XLOOKUP($A198,RetirementPlan!$B:$B,RetirementPlan!$H:$H,0)))</f>
        <v/>
      </c>
      <c r="K198">
        <f>IF($A198="","",IF(NOT(ISBLANK(XLOOKUP($A198,RetirementPlan!$B:$B,RetirementPlan!$N:$N,""))),XLOOKUP($A198,RetirementPlan!$B:$B,RetirementPlan!$N:$N,""),LET(cid,$A198,c,FILTER(LocationPlan!$D:$D,LocationPlan!$C:$C=cid),p,FILTER(LocationPlan!$E:$E,LocationPlan!$C:$C=cid),IFERROR(INDEX(c,MATCH(MAX(p),p,0)),""))))</f>
        <v/>
      </c>
    </row>
    <row r="199">
      <c r="B199">
        <f>IF($A199="","",XLOOKUP($A199,Clients!$A:$A,Clients!$D:$D)&amp;" "&amp;XLOOKUP($A199,Clients!$A:$A,Clients!$E:$E))</f>
        <v/>
      </c>
      <c r="C199">
        <f>IF($A199="","",DATEDIF(XLOOKUP($A199,Clients!$A:$A,Clients!$F:$F),VAL_DATE,"Y"))</f>
        <v/>
      </c>
      <c r="D199">
        <f>IF(OR($A199="",E199=""),"",E199-C199)</f>
        <v/>
      </c>
      <c r="E199">
        <f>IF($A199="","",XLOOKUP($A199,RetirementPlan!$B:$B,RetirementPlan!$C:$C,""))</f>
        <v/>
      </c>
      <c r="F199" s="9">
        <f>IF(OR($A199="",D199=""),"",FV(IF(IFERROR(XLOOKUP($A199,RetirementPlan!$B:$B,RetirementPlan!$K:$K,""),"")="",GROWTH,IFERROR(XLOOKUP($A199,RetirementPlan!$B:$B,RetirementPlan!$K:$K,""),"")),D199,-N(XLOOKUP($A199,RetirementPlan!$B:$B,RetirementPlan!$I:$I,0)),-SUMIFS(Assets!$J:$J,Assets!$B:$B,$A199,Assets!$R:$R,"Yes"),0))</f>
        <v/>
      </c>
      <c r="G199" s="9">
        <f>IF(OR($A199="",I199=""),"",MAX(0,(I199-J199)/IF(IFERROR(XLOOKUP($A199,RetirementPlan!$B:$B,RetirementPlan!$M:$M,""),"")="",SWR,IFERROR(XLOOKUP($A199,RetirementPlan!$B:$B,RetirementPlan!$M:$M,""),""))))</f>
        <v/>
      </c>
      <c r="H199" s="9">
        <f>IF(OR($A199="",F199="",G199=""),"",F199-G199)</f>
        <v/>
      </c>
      <c r="I199" s="9">
        <f>IF($A199="","",XLOOKUP($A199,RetirementPlan!$B:$B,RetirementPlan!$E:$E,""))</f>
        <v/>
      </c>
      <c r="J199" s="9">
        <f>IF($A199="","",N(XLOOKUP($A199,RetirementPlan!$B:$B,RetirementPlan!$G:$G,0))+N(XLOOKUP($A199,RetirementPlan!$B:$B,RetirementPlan!$H:$H,0)))</f>
        <v/>
      </c>
      <c r="K199">
        <f>IF($A199="","",IF(NOT(ISBLANK(XLOOKUP($A199,RetirementPlan!$B:$B,RetirementPlan!$N:$N,""))),XLOOKUP($A199,RetirementPlan!$B:$B,RetirementPlan!$N:$N,""),LET(cid,$A199,c,FILTER(LocationPlan!$D:$D,LocationPlan!$C:$C=cid),p,FILTER(LocationPlan!$E:$E,LocationPlan!$C:$C=cid),IFERROR(INDEX(c,MATCH(MAX(p),p,0)),""))))</f>
        <v/>
      </c>
    </row>
    <row r="200">
      <c r="B200">
        <f>IF($A200="","",XLOOKUP($A200,Clients!$A:$A,Clients!$D:$D)&amp;" "&amp;XLOOKUP($A200,Clients!$A:$A,Clients!$E:$E))</f>
        <v/>
      </c>
      <c r="C200">
        <f>IF($A200="","",DATEDIF(XLOOKUP($A200,Clients!$A:$A,Clients!$F:$F),VAL_DATE,"Y"))</f>
        <v/>
      </c>
      <c r="D200">
        <f>IF(OR($A200="",E200=""),"",E200-C200)</f>
        <v/>
      </c>
      <c r="E200">
        <f>IF($A200="","",XLOOKUP($A200,RetirementPlan!$B:$B,RetirementPlan!$C:$C,""))</f>
        <v/>
      </c>
      <c r="F200" s="9">
        <f>IF(OR($A200="",D200=""),"",FV(IF(IFERROR(XLOOKUP($A200,RetirementPlan!$B:$B,RetirementPlan!$K:$K,""),"")="",GROWTH,IFERROR(XLOOKUP($A200,RetirementPlan!$B:$B,RetirementPlan!$K:$K,""),"")),D200,-N(XLOOKUP($A200,RetirementPlan!$B:$B,RetirementPlan!$I:$I,0)),-SUMIFS(Assets!$J:$J,Assets!$B:$B,$A200,Assets!$R:$R,"Yes"),0))</f>
        <v/>
      </c>
      <c r="G200" s="9">
        <f>IF(OR($A200="",I200=""),"",MAX(0,(I200-J200)/IF(IFERROR(XLOOKUP($A200,RetirementPlan!$B:$B,RetirementPlan!$M:$M,""),"")="",SWR,IFERROR(XLOOKUP($A200,RetirementPlan!$B:$B,RetirementPlan!$M:$M,""),""))))</f>
        <v/>
      </c>
      <c r="H200" s="9">
        <f>IF(OR($A200="",F200="",G200=""),"",F200-G200)</f>
        <v/>
      </c>
      <c r="I200" s="9">
        <f>IF($A200="","",XLOOKUP($A200,RetirementPlan!$B:$B,RetirementPlan!$E:$E,""))</f>
        <v/>
      </c>
      <c r="J200" s="9">
        <f>IF($A200="","",N(XLOOKUP($A200,RetirementPlan!$B:$B,RetirementPlan!$G:$G,0))+N(XLOOKUP($A200,RetirementPlan!$B:$B,RetirementPlan!$H:$H,0)))</f>
        <v/>
      </c>
      <c r="K200">
        <f>IF($A200="","",IF(NOT(ISBLANK(XLOOKUP($A200,RetirementPlan!$B:$B,RetirementPlan!$N:$N,""))),XLOOKUP($A200,RetirementPlan!$B:$B,RetirementPlan!$N:$N,""),LET(cid,$A200,c,FILTER(LocationPlan!$D:$D,LocationPlan!$C:$C=cid),p,FILTER(LocationPlan!$E:$E,LocationPlan!$C:$C=cid),IFERROR(INDEX(c,MATCH(MAX(p),p,0)),""))))</f>
        <v/>
      </c>
    </row>
    <row r="201">
      <c r="B201">
        <f>IF($A201="","",XLOOKUP($A201,Clients!$A:$A,Clients!$D:$D)&amp;" "&amp;XLOOKUP($A201,Clients!$A:$A,Clients!$E:$E))</f>
        <v/>
      </c>
      <c r="C201">
        <f>IF($A201="","",DATEDIF(XLOOKUP($A201,Clients!$A:$A,Clients!$F:$F),VAL_DATE,"Y"))</f>
        <v/>
      </c>
      <c r="D201">
        <f>IF(OR($A201="",E201=""),"",E201-C201)</f>
        <v/>
      </c>
      <c r="E201">
        <f>IF($A201="","",XLOOKUP($A201,RetirementPlan!$B:$B,RetirementPlan!$C:$C,""))</f>
        <v/>
      </c>
      <c r="F201" s="9">
        <f>IF(OR($A201="",D201=""),"",FV(IF(IFERROR(XLOOKUP($A201,RetirementPlan!$B:$B,RetirementPlan!$K:$K,""),"")="",GROWTH,IFERROR(XLOOKUP($A201,RetirementPlan!$B:$B,RetirementPlan!$K:$K,""),"")),D201,-N(XLOOKUP($A201,RetirementPlan!$B:$B,RetirementPlan!$I:$I,0)),-SUMIFS(Assets!$J:$J,Assets!$B:$B,$A201,Assets!$R:$R,"Yes"),0))</f>
        <v/>
      </c>
      <c r="G201" s="9">
        <f>IF(OR($A201="",I201=""),"",MAX(0,(I201-J201)/IF(IFERROR(XLOOKUP($A201,RetirementPlan!$B:$B,RetirementPlan!$M:$M,""),"")="",SWR,IFERROR(XLOOKUP($A201,RetirementPlan!$B:$B,RetirementPlan!$M:$M,""),""))))</f>
        <v/>
      </c>
      <c r="H201" s="9">
        <f>IF(OR($A201="",F201="",G201=""),"",F201-G201)</f>
        <v/>
      </c>
      <c r="I201" s="9">
        <f>IF($A201="","",XLOOKUP($A201,RetirementPlan!$B:$B,RetirementPlan!$E:$E,""))</f>
        <v/>
      </c>
      <c r="J201" s="9">
        <f>IF($A201="","",N(XLOOKUP($A201,RetirementPlan!$B:$B,RetirementPlan!$G:$G,0))+N(XLOOKUP($A201,RetirementPlan!$B:$B,RetirementPlan!$H:$H,0)))</f>
        <v/>
      </c>
      <c r="K201">
        <f>IF($A201="","",IF(NOT(ISBLANK(XLOOKUP($A201,RetirementPlan!$B:$B,RetirementPlan!$N:$N,""))),XLOOKUP($A201,RetirementPlan!$B:$B,RetirementPlan!$N:$N,""),LET(cid,$A201,c,FILTER(LocationPlan!$D:$D,LocationPlan!$C:$C=cid),p,FILTER(LocationPlan!$E:$E,LocationPlan!$C:$C=cid),IFERROR(INDEX(c,MATCH(MAX(p),p,0)),""))))</f>
        <v/>
      </c>
    </row>
    <row r="202">
      <c r="B202">
        <f>IF($A202="","",XLOOKUP($A202,Clients!$A:$A,Clients!$D:$D)&amp;" "&amp;XLOOKUP($A202,Clients!$A:$A,Clients!$E:$E))</f>
        <v/>
      </c>
      <c r="C202">
        <f>IF($A202="","",DATEDIF(XLOOKUP($A202,Clients!$A:$A,Clients!$F:$F),VAL_DATE,"Y"))</f>
        <v/>
      </c>
      <c r="D202">
        <f>IF(OR($A202="",E202=""),"",E202-C202)</f>
        <v/>
      </c>
      <c r="E202">
        <f>IF($A202="","",XLOOKUP($A202,RetirementPlan!$B:$B,RetirementPlan!$C:$C,""))</f>
        <v/>
      </c>
      <c r="F202" s="9">
        <f>IF(OR($A202="",D202=""),"",FV(IF(IFERROR(XLOOKUP($A202,RetirementPlan!$B:$B,RetirementPlan!$K:$K,""),"")="",GROWTH,IFERROR(XLOOKUP($A202,RetirementPlan!$B:$B,RetirementPlan!$K:$K,""),"")),D202,-N(XLOOKUP($A202,RetirementPlan!$B:$B,RetirementPlan!$I:$I,0)),-SUMIFS(Assets!$J:$J,Assets!$B:$B,$A202,Assets!$R:$R,"Yes"),0))</f>
        <v/>
      </c>
      <c r="G202" s="9">
        <f>IF(OR($A202="",I202=""),"",MAX(0,(I202-J202)/IF(IFERROR(XLOOKUP($A202,RetirementPlan!$B:$B,RetirementPlan!$M:$M,""),"")="",SWR,IFERROR(XLOOKUP($A202,RetirementPlan!$B:$B,RetirementPlan!$M:$M,""),""))))</f>
        <v/>
      </c>
      <c r="H202" s="9">
        <f>IF(OR($A202="",F202="",G202=""),"",F202-G202)</f>
        <v/>
      </c>
      <c r="I202" s="9">
        <f>IF($A202="","",XLOOKUP($A202,RetirementPlan!$B:$B,RetirementPlan!$E:$E,""))</f>
        <v/>
      </c>
      <c r="J202" s="9">
        <f>IF($A202="","",N(XLOOKUP($A202,RetirementPlan!$B:$B,RetirementPlan!$G:$G,0))+N(XLOOKUP($A202,RetirementPlan!$B:$B,RetirementPlan!$H:$H,0)))</f>
        <v/>
      </c>
      <c r="K202">
        <f>IF($A202="","",IF(NOT(ISBLANK(XLOOKUP($A202,RetirementPlan!$B:$B,RetirementPlan!$N:$N,""))),XLOOKUP($A202,RetirementPlan!$B:$B,RetirementPlan!$N:$N,""),LET(cid,$A202,c,FILTER(LocationPlan!$D:$D,LocationPlan!$C:$C=cid),p,FILTER(LocationPlan!$E:$E,LocationPlan!$C:$C=cid),IFERROR(INDEX(c,MATCH(MAX(p),p,0)),""))))</f>
        <v/>
      </c>
    </row>
    <row r="203">
      <c r="B203">
        <f>IF($A203="","",XLOOKUP($A203,Clients!$A:$A,Clients!$D:$D)&amp;" "&amp;XLOOKUP($A203,Clients!$A:$A,Clients!$E:$E))</f>
        <v/>
      </c>
      <c r="C203">
        <f>IF($A203="","",DATEDIF(XLOOKUP($A203,Clients!$A:$A,Clients!$F:$F),VAL_DATE,"Y"))</f>
        <v/>
      </c>
      <c r="D203">
        <f>IF(OR($A203="",E203=""),"",E203-C203)</f>
        <v/>
      </c>
      <c r="E203">
        <f>IF($A203="","",XLOOKUP($A203,RetirementPlan!$B:$B,RetirementPlan!$C:$C,""))</f>
        <v/>
      </c>
      <c r="F203" s="9">
        <f>IF(OR($A203="",D203=""),"",FV(IF(IFERROR(XLOOKUP($A203,RetirementPlan!$B:$B,RetirementPlan!$K:$K,""),"")="",GROWTH,IFERROR(XLOOKUP($A203,RetirementPlan!$B:$B,RetirementPlan!$K:$K,""),"")),D203,-N(XLOOKUP($A203,RetirementPlan!$B:$B,RetirementPlan!$I:$I,0)),-SUMIFS(Assets!$J:$J,Assets!$B:$B,$A203,Assets!$R:$R,"Yes"),0))</f>
        <v/>
      </c>
      <c r="G203" s="9">
        <f>IF(OR($A203="",I203=""),"",MAX(0,(I203-J203)/IF(IFERROR(XLOOKUP($A203,RetirementPlan!$B:$B,RetirementPlan!$M:$M,""),"")="",SWR,IFERROR(XLOOKUP($A203,RetirementPlan!$B:$B,RetirementPlan!$M:$M,""),""))))</f>
        <v/>
      </c>
      <c r="H203" s="9">
        <f>IF(OR($A203="",F203="",G203=""),"",F203-G203)</f>
        <v/>
      </c>
      <c r="I203" s="9">
        <f>IF($A203="","",XLOOKUP($A203,RetirementPlan!$B:$B,RetirementPlan!$E:$E,""))</f>
        <v/>
      </c>
      <c r="J203" s="9">
        <f>IF($A203="","",N(XLOOKUP($A203,RetirementPlan!$B:$B,RetirementPlan!$G:$G,0))+N(XLOOKUP($A203,RetirementPlan!$B:$B,RetirementPlan!$H:$H,0)))</f>
        <v/>
      </c>
      <c r="K203">
        <f>IF($A203="","",IF(NOT(ISBLANK(XLOOKUP($A203,RetirementPlan!$B:$B,RetirementPlan!$N:$N,""))),XLOOKUP($A203,RetirementPlan!$B:$B,RetirementPlan!$N:$N,""),LET(cid,$A203,c,FILTER(LocationPlan!$D:$D,LocationPlan!$C:$C=cid),p,FILTER(LocationPlan!$E:$E,LocationPlan!$C:$C=cid),IFERROR(INDEX(c,MATCH(MAX(p),p,0)),""))))</f>
        <v/>
      </c>
    </row>
    <row r="204">
      <c r="B204">
        <f>IF($A204="","",XLOOKUP($A204,Clients!$A:$A,Clients!$D:$D)&amp;" "&amp;XLOOKUP($A204,Clients!$A:$A,Clients!$E:$E))</f>
        <v/>
      </c>
      <c r="C204">
        <f>IF($A204="","",DATEDIF(XLOOKUP($A204,Clients!$A:$A,Clients!$F:$F),VAL_DATE,"Y"))</f>
        <v/>
      </c>
      <c r="D204">
        <f>IF(OR($A204="",E204=""),"",E204-C204)</f>
        <v/>
      </c>
      <c r="E204">
        <f>IF($A204="","",XLOOKUP($A204,RetirementPlan!$B:$B,RetirementPlan!$C:$C,""))</f>
        <v/>
      </c>
      <c r="F204" s="9">
        <f>IF(OR($A204="",D204=""),"",FV(IF(IFERROR(XLOOKUP($A204,RetirementPlan!$B:$B,RetirementPlan!$K:$K,""),"")="",GROWTH,IFERROR(XLOOKUP($A204,RetirementPlan!$B:$B,RetirementPlan!$K:$K,""),"")),D204,-N(XLOOKUP($A204,RetirementPlan!$B:$B,RetirementPlan!$I:$I,0)),-SUMIFS(Assets!$J:$J,Assets!$B:$B,$A204,Assets!$R:$R,"Yes"),0))</f>
        <v/>
      </c>
      <c r="G204" s="9">
        <f>IF(OR($A204="",I204=""),"",MAX(0,(I204-J204)/IF(IFERROR(XLOOKUP($A204,RetirementPlan!$B:$B,RetirementPlan!$M:$M,""),"")="",SWR,IFERROR(XLOOKUP($A204,RetirementPlan!$B:$B,RetirementPlan!$M:$M,""),""))))</f>
        <v/>
      </c>
      <c r="H204" s="9">
        <f>IF(OR($A204="",F204="",G204=""),"",F204-G204)</f>
        <v/>
      </c>
      <c r="I204" s="9">
        <f>IF($A204="","",XLOOKUP($A204,RetirementPlan!$B:$B,RetirementPlan!$E:$E,""))</f>
        <v/>
      </c>
      <c r="J204" s="9">
        <f>IF($A204="","",N(XLOOKUP($A204,RetirementPlan!$B:$B,RetirementPlan!$G:$G,0))+N(XLOOKUP($A204,RetirementPlan!$B:$B,RetirementPlan!$H:$H,0)))</f>
        <v/>
      </c>
      <c r="K204">
        <f>IF($A204="","",IF(NOT(ISBLANK(XLOOKUP($A204,RetirementPlan!$B:$B,RetirementPlan!$N:$N,""))),XLOOKUP($A204,RetirementPlan!$B:$B,RetirementPlan!$N:$N,""),LET(cid,$A204,c,FILTER(LocationPlan!$D:$D,LocationPlan!$C:$C=cid),p,FILTER(LocationPlan!$E:$E,LocationPlan!$C:$C=cid),IFERROR(INDEX(c,MATCH(MAX(p),p,0)),""))))</f>
        <v/>
      </c>
    </row>
    <row r="205">
      <c r="B205">
        <f>IF($A205="","",XLOOKUP($A205,Clients!$A:$A,Clients!$D:$D)&amp;" "&amp;XLOOKUP($A205,Clients!$A:$A,Clients!$E:$E))</f>
        <v/>
      </c>
      <c r="C205">
        <f>IF($A205="","",DATEDIF(XLOOKUP($A205,Clients!$A:$A,Clients!$F:$F),VAL_DATE,"Y"))</f>
        <v/>
      </c>
      <c r="D205">
        <f>IF(OR($A205="",E205=""),"",E205-C205)</f>
        <v/>
      </c>
      <c r="E205">
        <f>IF($A205="","",XLOOKUP($A205,RetirementPlan!$B:$B,RetirementPlan!$C:$C,""))</f>
        <v/>
      </c>
      <c r="F205" s="9">
        <f>IF(OR($A205="",D205=""),"",FV(IF(IFERROR(XLOOKUP($A205,RetirementPlan!$B:$B,RetirementPlan!$K:$K,""),"")="",GROWTH,IFERROR(XLOOKUP($A205,RetirementPlan!$B:$B,RetirementPlan!$K:$K,""),"")),D205,-N(XLOOKUP($A205,RetirementPlan!$B:$B,RetirementPlan!$I:$I,0)),-SUMIFS(Assets!$J:$J,Assets!$B:$B,$A205,Assets!$R:$R,"Yes"),0))</f>
        <v/>
      </c>
      <c r="G205" s="9">
        <f>IF(OR($A205="",I205=""),"",MAX(0,(I205-J205)/IF(IFERROR(XLOOKUP($A205,RetirementPlan!$B:$B,RetirementPlan!$M:$M,""),"")="",SWR,IFERROR(XLOOKUP($A205,RetirementPlan!$B:$B,RetirementPlan!$M:$M,""),""))))</f>
        <v/>
      </c>
      <c r="H205" s="9">
        <f>IF(OR($A205="",F205="",G205=""),"",F205-G205)</f>
        <v/>
      </c>
      <c r="I205" s="9">
        <f>IF($A205="","",XLOOKUP($A205,RetirementPlan!$B:$B,RetirementPlan!$E:$E,""))</f>
        <v/>
      </c>
      <c r="J205" s="9">
        <f>IF($A205="","",N(XLOOKUP($A205,RetirementPlan!$B:$B,RetirementPlan!$G:$G,0))+N(XLOOKUP($A205,RetirementPlan!$B:$B,RetirementPlan!$H:$H,0)))</f>
        <v/>
      </c>
      <c r="K205">
        <f>IF($A205="","",IF(NOT(ISBLANK(XLOOKUP($A205,RetirementPlan!$B:$B,RetirementPlan!$N:$N,""))),XLOOKUP($A205,RetirementPlan!$B:$B,RetirementPlan!$N:$N,""),LET(cid,$A205,c,FILTER(LocationPlan!$D:$D,LocationPlan!$C:$C=cid),p,FILTER(LocationPlan!$E:$E,LocationPlan!$C:$C=cid),IFERROR(INDEX(c,MATCH(MAX(p),p,0)),""))))</f>
        <v/>
      </c>
    </row>
    <row r="206">
      <c r="B206">
        <f>IF($A206="","",XLOOKUP($A206,Clients!$A:$A,Clients!$D:$D)&amp;" "&amp;XLOOKUP($A206,Clients!$A:$A,Clients!$E:$E))</f>
        <v/>
      </c>
      <c r="C206">
        <f>IF($A206="","",DATEDIF(XLOOKUP($A206,Clients!$A:$A,Clients!$F:$F),VAL_DATE,"Y"))</f>
        <v/>
      </c>
      <c r="D206">
        <f>IF(OR($A206="",E206=""),"",E206-C206)</f>
        <v/>
      </c>
      <c r="E206">
        <f>IF($A206="","",XLOOKUP($A206,RetirementPlan!$B:$B,RetirementPlan!$C:$C,""))</f>
        <v/>
      </c>
      <c r="F206" s="9">
        <f>IF(OR($A206="",D206=""),"",FV(IF(IFERROR(XLOOKUP($A206,RetirementPlan!$B:$B,RetirementPlan!$K:$K,""),"")="",GROWTH,IFERROR(XLOOKUP($A206,RetirementPlan!$B:$B,RetirementPlan!$K:$K,""),"")),D206,-N(XLOOKUP($A206,RetirementPlan!$B:$B,RetirementPlan!$I:$I,0)),-SUMIFS(Assets!$J:$J,Assets!$B:$B,$A206,Assets!$R:$R,"Yes"),0))</f>
        <v/>
      </c>
      <c r="G206" s="9">
        <f>IF(OR($A206="",I206=""),"",MAX(0,(I206-J206)/IF(IFERROR(XLOOKUP($A206,RetirementPlan!$B:$B,RetirementPlan!$M:$M,""),"")="",SWR,IFERROR(XLOOKUP($A206,RetirementPlan!$B:$B,RetirementPlan!$M:$M,""),""))))</f>
        <v/>
      </c>
      <c r="H206" s="9">
        <f>IF(OR($A206="",F206="",G206=""),"",F206-G206)</f>
        <v/>
      </c>
      <c r="I206" s="9">
        <f>IF($A206="","",XLOOKUP($A206,RetirementPlan!$B:$B,RetirementPlan!$E:$E,""))</f>
        <v/>
      </c>
      <c r="J206" s="9">
        <f>IF($A206="","",N(XLOOKUP($A206,RetirementPlan!$B:$B,RetirementPlan!$G:$G,0))+N(XLOOKUP($A206,RetirementPlan!$B:$B,RetirementPlan!$H:$H,0)))</f>
        <v/>
      </c>
      <c r="K206">
        <f>IF($A206="","",IF(NOT(ISBLANK(XLOOKUP($A206,RetirementPlan!$B:$B,RetirementPlan!$N:$N,""))),XLOOKUP($A206,RetirementPlan!$B:$B,RetirementPlan!$N:$N,""),LET(cid,$A206,c,FILTER(LocationPlan!$D:$D,LocationPlan!$C:$C=cid),p,FILTER(LocationPlan!$E:$E,LocationPlan!$C:$C=cid),IFERROR(INDEX(c,MATCH(MAX(p),p,0)),""))))</f>
        <v/>
      </c>
    </row>
    <row r="207">
      <c r="B207">
        <f>IF($A207="","",XLOOKUP($A207,Clients!$A:$A,Clients!$D:$D)&amp;" "&amp;XLOOKUP($A207,Clients!$A:$A,Clients!$E:$E))</f>
        <v/>
      </c>
      <c r="C207">
        <f>IF($A207="","",DATEDIF(XLOOKUP($A207,Clients!$A:$A,Clients!$F:$F),VAL_DATE,"Y"))</f>
        <v/>
      </c>
      <c r="D207">
        <f>IF(OR($A207="",E207=""),"",E207-C207)</f>
        <v/>
      </c>
      <c r="E207">
        <f>IF($A207="","",XLOOKUP($A207,RetirementPlan!$B:$B,RetirementPlan!$C:$C,""))</f>
        <v/>
      </c>
      <c r="F207" s="9">
        <f>IF(OR($A207="",D207=""),"",FV(IF(IFERROR(XLOOKUP($A207,RetirementPlan!$B:$B,RetirementPlan!$K:$K,""),"")="",GROWTH,IFERROR(XLOOKUP($A207,RetirementPlan!$B:$B,RetirementPlan!$K:$K,""),"")),D207,-N(XLOOKUP($A207,RetirementPlan!$B:$B,RetirementPlan!$I:$I,0)),-SUMIFS(Assets!$J:$J,Assets!$B:$B,$A207,Assets!$R:$R,"Yes"),0))</f>
        <v/>
      </c>
      <c r="G207" s="9">
        <f>IF(OR($A207="",I207=""),"",MAX(0,(I207-J207)/IF(IFERROR(XLOOKUP($A207,RetirementPlan!$B:$B,RetirementPlan!$M:$M,""),"")="",SWR,IFERROR(XLOOKUP($A207,RetirementPlan!$B:$B,RetirementPlan!$M:$M,""),""))))</f>
        <v/>
      </c>
      <c r="H207" s="9">
        <f>IF(OR($A207="",F207="",G207=""),"",F207-G207)</f>
        <v/>
      </c>
      <c r="I207" s="9">
        <f>IF($A207="","",XLOOKUP($A207,RetirementPlan!$B:$B,RetirementPlan!$E:$E,""))</f>
        <v/>
      </c>
      <c r="J207" s="9">
        <f>IF($A207="","",N(XLOOKUP($A207,RetirementPlan!$B:$B,RetirementPlan!$G:$G,0))+N(XLOOKUP($A207,RetirementPlan!$B:$B,RetirementPlan!$H:$H,0)))</f>
        <v/>
      </c>
      <c r="K207">
        <f>IF($A207="","",IF(NOT(ISBLANK(XLOOKUP($A207,RetirementPlan!$B:$B,RetirementPlan!$N:$N,""))),XLOOKUP($A207,RetirementPlan!$B:$B,RetirementPlan!$N:$N,""),LET(cid,$A207,c,FILTER(LocationPlan!$D:$D,LocationPlan!$C:$C=cid),p,FILTER(LocationPlan!$E:$E,LocationPlan!$C:$C=cid),IFERROR(INDEX(c,MATCH(MAX(p),p,0)),""))))</f>
        <v/>
      </c>
    </row>
    <row r="208">
      <c r="B208">
        <f>IF($A208="","",XLOOKUP($A208,Clients!$A:$A,Clients!$D:$D)&amp;" "&amp;XLOOKUP($A208,Clients!$A:$A,Clients!$E:$E))</f>
        <v/>
      </c>
      <c r="C208">
        <f>IF($A208="","",DATEDIF(XLOOKUP($A208,Clients!$A:$A,Clients!$F:$F),VAL_DATE,"Y"))</f>
        <v/>
      </c>
      <c r="D208">
        <f>IF(OR($A208="",E208=""),"",E208-C208)</f>
        <v/>
      </c>
      <c r="E208">
        <f>IF($A208="","",XLOOKUP($A208,RetirementPlan!$B:$B,RetirementPlan!$C:$C,""))</f>
        <v/>
      </c>
      <c r="F208" s="9">
        <f>IF(OR($A208="",D208=""),"",FV(IF(IFERROR(XLOOKUP($A208,RetirementPlan!$B:$B,RetirementPlan!$K:$K,""),"")="",GROWTH,IFERROR(XLOOKUP($A208,RetirementPlan!$B:$B,RetirementPlan!$K:$K,""),"")),D208,-N(XLOOKUP($A208,RetirementPlan!$B:$B,RetirementPlan!$I:$I,0)),-SUMIFS(Assets!$J:$J,Assets!$B:$B,$A208,Assets!$R:$R,"Yes"),0))</f>
        <v/>
      </c>
      <c r="G208" s="9">
        <f>IF(OR($A208="",I208=""),"",MAX(0,(I208-J208)/IF(IFERROR(XLOOKUP($A208,RetirementPlan!$B:$B,RetirementPlan!$M:$M,""),"")="",SWR,IFERROR(XLOOKUP($A208,RetirementPlan!$B:$B,RetirementPlan!$M:$M,""),""))))</f>
        <v/>
      </c>
      <c r="H208" s="9">
        <f>IF(OR($A208="",F208="",G208=""),"",F208-G208)</f>
        <v/>
      </c>
      <c r="I208" s="9">
        <f>IF($A208="","",XLOOKUP($A208,RetirementPlan!$B:$B,RetirementPlan!$E:$E,""))</f>
        <v/>
      </c>
      <c r="J208" s="9">
        <f>IF($A208="","",N(XLOOKUP($A208,RetirementPlan!$B:$B,RetirementPlan!$G:$G,0))+N(XLOOKUP($A208,RetirementPlan!$B:$B,RetirementPlan!$H:$H,0)))</f>
        <v/>
      </c>
      <c r="K208">
        <f>IF($A208="","",IF(NOT(ISBLANK(XLOOKUP($A208,RetirementPlan!$B:$B,RetirementPlan!$N:$N,""))),XLOOKUP($A208,RetirementPlan!$B:$B,RetirementPlan!$N:$N,""),LET(cid,$A208,c,FILTER(LocationPlan!$D:$D,LocationPlan!$C:$C=cid),p,FILTER(LocationPlan!$E:$E,LocationPlan!$C:$C=cid),IFERROR(INDEX(c,MATCH(MAX(p),p,0)),""))))</f>
        <v/>
      </c>
    </row>
    <row r="209">
      <c r="B209">
        <f>IF($A209="","",XLOOKUP($A209,Clients!$A:$A,Clients!$D:$D)&amp;" "&amp;XLOOKUP($A209,Clients!$A:$A,Clients!$E:$E))</f>
        <v/>
      </c>
      <c r="C209">
        <f>IF($A209="","",DATEDIF(XLOOKUP($A209,Clients!$A:$A,Clients!$F:$F),VAL_DATE,"Y"))</f>
        <v/>
      </c>
      <c r="D209">
        <f>IF(OR($A209="",E209=""),"",E209-C209)</f>
        <v/>
      </c>
      <c r="E209">
        <f>IF($A209="","",XLOOKUP($A209,RetirementPlan!$B:$B,RetirementPlan!$C:$C,""))</f>
        <v/>
      </c>
      <c r="F209" s="9">
        <f>IF(OR($A209="",D209=""),"",FV(IF(IFERROR(XLOOKUP($A209,RetirementPlan!$B:$B,RetirementPlan!$K:$K,""),"")="",GROWTH,IFERROR(XLOOKUP($A209,RetirementPlan!$B:$B,RetirementPlan!$K:$K,""),"")),D209,-N(XLOOKUP($A209,RetirementPlan!$B:$B,RetirementPlan!$I:$I,0)),-SUMIFS(Assets!$J:$J,Assets!$B:$B,$A209,Assets!$R:$R,"Yes"),0))</f>
        <v/>
      </c>
      <c r="G209" s="9">
        <f>IF(OR($A209="",I209=""),"",MAX(0,(I209-J209)/IF(IFERROR(XLOOKUP($A209,RetirementPlan!$B:$B,RetirementPlan!$M:$M,""),"")="",SWR,IFERROR(XLOOKUP($A209,RetirementPlan!$B:$B,RetirementPlan!$M:$M,""),""))))</f>
        <v/>
      </c>
      <c r="H209" s="9">
        <f>IF(OR($A209="",F209="",G209=""),"",F209-G209)</f>
        <v/>
      </c>
      <c r="I209" s="9">
        <f>IF($A209="","",XLOOKUP($A209,RetirementPlan!$B:$B,RetirementPlan!$E:$E,""))</f>
        <v/>
      </c>
      <c r="J209" s="9">
        <f>IF($A209="","",N(XLOOKUP($A209,RetirementPlan!$B:$B,RetirementPlan!$G:$G,0))+N(XLOOKUP($A209,RetirementPlan!$B:$B,RetirementPlan!$H:$H,0)))</f>
        <v/>
      </c>
      <c r="K209">
        <f>IF($A209="","",IF(NOT(ISBLANK(XLOOKUP($A209,RetirementPlan!$B:$B,RetirementPlan!$N:$N,""))),XLOOKUP($A209,RetirementPlan!$B:$B,RetirementPlan!$N:$N,""),LET(cid,$A209,c,FILTER(LocationPlan!$D:$D,LocationPlan!$C:$C=cid),p,FILTER(LocationPlan!$E:$E,LocationPlan!$C:$C=cid),IFERROR(INDEX(c,MATCH(MAX(p),p,0)),""))))</f>
        <v/>
      </c>
    </row>
    <row r="210">
      <c r="B210">
        <f>IF($A210="","",XLOOKUP($A210,Clients!$A:$A,Clients!$D:$D)&amp;" "&amp;XLOOKUP($A210,Clients!$A:$A,Clients!$E:$E))</f>
        <v/>
      </c>
      <c r="C210">
        <f>IF($A210="","",DATEDIF(XLOOKUP($A210,Clients!$A:$A,Clients!$F:$F),VAL_DATE,"Y"))</f>
        <v/>
      </c>
      <c r="D210">
        <f>IF(OR($A210="",E210=""),"",E210-C210)</f>
        <v/>
      </c>
      <c r="E210">
        <f>IF($A210="","",XLOOKUP($A210,RetirementPlan!$B:$B,RetirementPlan!$C:$C,""))</f>
        <v/>
      </c>
      <c r="F210" s="9">
        <f>IF(OR($A210="",D210=""),"",FV(IF(IFERROR(XLOOKUP($A210,RetirementPlan!$B:$B,RetirementPlan!$K:$K,""),"")="",GROWTH,IFERROR(XLOOKUP($A210,RetirementPlan!$B:$B,RetirementPlan!$K:$K,""),"")),D210,-N(XLOOKUP($A210,RetirementPlan!$B:$B,RetirementPlan!$I:$I,0)),-SUMIFS(Assets!$J:$J,Assets!$B:$B,$A210,Assets!$R:$R,"Yes"),0))</f>
        <v/>
      </c>
      <c r="G210" s="9">
        <f>IF(OR($A210="",I210=""),"",MAX(0,(I210-J210)/IF(IFERROR(XLOOKUP($A210,RetirementPlan!$B:$B,RetirementPlan!$M:$M,""),"")="",SWR,IFERROR(XLOOKUP($A210,RetirementPlan!$B:$B,RetirementPlan!$M:$M,""),""))))</f>
        <v/>
      </c>
      <c r="H210" s="9">
        <f>IF(OR($A210="",F210="",G210=""),"",F210-G210)</f>
        <v/>
      </c>
      <c r="I210" s="9">
        <f>IF($A210="","",XLOOKUP($A210,RetirementPlan!$B:$B,RetirementPlan!$E:$E,""))</f>
        <v/>
      </c>
      <c r="J210" s="9">
        <f>IF($A210="","",N(XLOOKUP($A210,RetirementPlan!$B:$B,RetirementPlan!$G:$G,0))+N(XLOOKUP($A210,RetirementPlan!$B:$B,RetirementPlan!$H:$H,0)))</f>
        <v/>
      </c>
      <c r="K210">
        <f>IF($A210="","",IF(NOT(ISBLANK(XLOOKUP($A210,RetirementPlan!$B:$B,RetirementPlan!$N:$N,""))),XLOOKUP($A210,RetirementPlan!$B:$B,RetirementPlan!$N:$N,""),LET(cid,$A210,c,FILTER(LocationPlan!$D:$D,LocationPlan!$C:$C=cid),p,FILTER(LocationPlan!$E:$E,LocationPlan!$C:$C=cid),IFERROR(INDEX(c,MATCH(MAX(p),p,0)),""))))</f>
        <v/>
      </c>
    </row>
    <row r="211">
      <c r="B211">
        <f>IF($A211="","",XLOOKUP($A211,Clients!$A:$A,Clients!$D:$D)&amp;" "&amp;XLOOKUP($A211,Clients!$A:$A,Clients!$E:$E))</f>
        <v/>
      </c>
      <c r="C211">
        <f>IF($A211="","",DATEDIF(XLOOKUP($A211,Clients!$A:$A,Clients!$F:$F),VAL_DATE,"Y"))</f>
        <v/>
      </c>
      <c r="D211">
        <f>IF(OR($A211="",E211=""),"",E211-C211)</f>
        <v/>
      </c>
      <c r="E211">
        <f>IF($A211="","",XLOOKUP($A211,RetirementPlan!$B:$B,RetirementPlan!$C:$C,""))</f>
        <v/>
      </c>
      <c r="F211" s="9">
        <f>IF(OR($A211="",D211=""),"",FV(IF(IFERROR(XLOOKUP($A211,RetirementPlan!$B:$B,RetirementPlan!$K:$K,""),"")="",GROWTH,IFERROR(XLOOKUP($A211,RetirementPlan!$B:$B,RetirementPlan!$K:$K,""),"")),D211,-N(XLOOKUP($A211,RetirementPlan!$B:$B,RetirementPlan!$I:$I,0)),-SUMIFS(Assets!$J:$J,Assets!$B:$B,$A211,Assets!$R:$R,"Yes"),0))</f>
        <v/>
      </c>
      <c r="G211" s="9">
        <f>IF(OR($A211="",I211=""),"",MAX(0,(I211-J211)/IF(IFERROR(XLOOKUP($A211,RetirementPlan!$B:$B,RetirementPlan!$M:$M,""),"")="",SWR,IFERROR(XLOOKUP($A211,RetirementPlan!$B:$B,RetirementPlan!$M:$M,""),""))))</f>
        <v/>
      </c>
      <c r="H211" s="9">
        <f>IF(OR($A211="",F211="",G211=""),"",F211-G211)</f>
        <v/>
      </c>
      <c r="I211" s="9">
        <f>IF($A211="","",XLOOKUP($A211,RetirementPlan!$B:$B,RetirementPlan!$E:$E,""))</f>
        <v/>
      </c>
      <c r="J211" s="9">
        <f>IF($A211="","",N(XLOOKUP($A211,RetirementPlan!$B:$B,RetirementPlan!$G:$G,0))+N(XLOOKUP($A211,RetirementPlan!$B:$B,RetirementPlan!$H:$H,0)))</f>
        <v/>
      </c>
      <c r="K211">
        <f>IF($A211="","",IF(NOT(ISBLANK(XLOOKUP($A211,RetirementPlan!$B:$B,RetirementPlan!$N:$N,""))),XLOOKUP($A211,RetirementPlan!$B:$B,RetirementPlan!$N:$N,""),LET(cid,$A211,c,FILTER(LocationPlan!$D:$D,LocationPlan!$C:$C=cid),p,FILTER(LocationPlan!$E:$E,LocationPlan!$C:$C=cid),IFERROR(INDEX(c,MATCH(MAX(p),p,0)),""))))</f>
        <v/>
      </c>
    </row>
    <row r="212">
      <c r="B212">
        <f>IF($A212="","",XLOOKUP($A212,Clients!$A:$A,Clients!$D:$D)&amp;" "&amp;XLOOKUP($A212,Clients!$A:$A,Clients!$E:$E))</f>
        <v/>
      </c>
      <c r="C212">
        <f>IF($A212="","",DATEDIF(XLOOKUP($A212,Clients!$A:$A,Clients!$F:$F),VAL_DATE,"Y"))</f>
        <v/>
      </c>
      <c r="D212">
        <f>IF(OR($A212="",E212=""),"",E212-C212)</f>
        <v/>
      </c>
      <c r="E212">
        <f>IF($A212="","",XLOOKUP($A212,RetirementPlan!$B:$B,RetirementPlan!$C:$C,""))</f>
        <v/>
      </c>
      <c r="F212" s="9">
        <f>IF(OR($A212="",D212=""),"",FV(IF(IFERROR(XLOOKUP($A212,RetirementPlan!$B:$B,RetirementPlan!$K:$K,""),"")="",GROWTH,IFERROR(XLOOKUP($A212,RetirementPlan!$B:$B,RetirementPlan!$K:$K,""),"")),D212,-N(XLOOKUP($A212,RetirementPlan!$B:$B,RetirementPlan!$I:$I,0)),-SUMIFS(Assets!$J:$J,Assets!$B:$B,$A212,Assets!$R:$R,"Yes"),0))</f>
        <v/>
      </c>
      <c r="G212" s="9">
        <f>IF(OR($A212="",I212=""),"",MAX(0,(I212-J212)/IF(IFERROR(XLOOKUP($A212,RetirementPlan!$B:$B,RetirementPlan!$M:$M,""),"")="",SWR,IFERROR(XLOOKUP($A212,RetirementPlan!$B:$B,RetirementPlan!$M:$M,""),""))))</f>
        <v/>
      </c>
      <c r="H212" s="9">
        <f>IF(OR($A212="",F212="",G212=""),"",F212-G212)</f>
        <v/>
      </c>
      <c r="I212" s="9">
        <f>IF($A212="","",XLOOKUP($A212,RetirementPlan!$B:$B,RetirementPlan!$E:$E,""))</f>
        <v/>
      </c>
      <c r="J212" s="9">
        <f>IF($A212="","",N(XLOOKUP($A212,RetirementPlan!$B:$B,RetirementPlan!$G:$G,0))+N(XLOOKUP($A212,RetirementPlan!$B:$B,RetirementPlan!$H:$H,0)))</f>
        <v/>
      </c>
      <c r="K212">
        <f>IF($A212="","",IF(NOT(ISBLANK(XLOOKUP($A212,RetirementPlan!$B:$B,RetirementPlan!$N:$N,""))),XLOOKUP($A212,RetirementPlan!$B:$B,RetirementPlan!$N:$N,""),LET(cid,$A212,c,FILTER(LocationPlan!$D:$D,LocationPlan!$C:$C=cid),p,FILTER(LocationPlan!$E:$E,LocationPlan!$C:$C=cid),IFERROR(INDEX(c,MATCH(MAX(p),p,0)),""))))</f>
        <v/>
      </c>
    </row>
    <row r="213">
      <c r="B213">
        <f>IF($A213="","",XLOOKUP($A213,Clients!$A:$A,Clients!$D:$D)&amp;" "&amp;XLOOKUP($A213,Clients!$A:$A,Clients!$E:$E))</f>
        <v/>
      </c>
      <c r="C213">
        <f>IF($A213="","",DATEDIF(XLOOKUP($A213,Clients!$A:$A,Clients!$F:$F),VAL_DATE,"Y"))</f>
        <v/>
      </c>
      <c r="D213">
        <f>IF(OR($A213="",E213=""),"",E213-C213)</f>
        <v/>
      </c>
      <c r="E213">
        <f>IF($A213="","",XLOOKUP($A213,RetirementPlan!$B:$B,RetirementPlan!$C:$C,""))</f>
        <v/>
      </c>
      <c r="F213" s="9">
        <f>IF(OR($A213="",D213=""),"",FV(IF(IFERROR(XLOOKUP($A213,RetirementPlan!$B:$B,RetirementPlan!$K:$K,""),"")="",GROWTH,IFERROR(XLOOKUP($A213,RetirementPlan!$B:$B,RetirementPlan!$K:$K,""),"")),D213,-N(XLOOKUP($A213,RetirementPlan!$B:$B,RetirementPlan!$I:$I,0)),-SUMIFS(Assets!$J:$J,Assets!$B:$B,$A213,Assets!$R:$R,"Yes"),0))</f>
        <v/>
      </c>
      <c r="G213" s="9">
        <f>IF(OR($A213="",I213=""),"",MAX(0,(I213-J213)/IF(IFERROR(XLOOKUP($A213,RetirementPlan!$B:$B,RetirementPlan!$M:$M,""),"")="",SWR,IFERROR(XLOOKUP($A213,RetirementPlan!$B:$B,RetirementPlan!$M:$M,""),""))))</f>
        <v/>
      </c>
      <c r="H213" s="9">
        <f>IF(OR($A213="",F213="",G213=""),"",F213-G213)</f>
        <v/>
      </c>
      <c r="I213" s="9">
        <f>IF($A213="","",XLOOKUP($A213,RetirementPlan!$B:$B,RetirementPlan!$E:$E,""))</f>
        <v/>
      </c>
      <c r="J213" s="9">
        <f>IF($A213="","",N(XLOOKUP($A213,RetirementPlan!$B:$B,RetirementPlan!$G:$G,0))+N(XLOOKUP($A213,RetirementPlan!$B:$B,RetirementPlan!$H:$H,0)))</f>
        <v/>
      </c>
      <c r="K213">
        <f>IF($A213="","",IF(NOT(ISBLANK(XLOOKUP($A213,RetirementPlan!$B:$B,RetirementPlan!$N:$N,""))),XLOOKUP($A213,RetirementPlan!$B:$B,RetirementPlan!$N:$N,""),LET(cid,$A213,c,FILTER(LocationPlan!$D:$D,LocationPlan!$C:$C=cid),p,FILTER(LocationPlan!$E:$E,LocationPlan!$C:$C=cid),IFERROR(INDEX(c,MATCH(MAX(p),p,0)),""))))</f>
        <v/>
      </c>
    </row>
    <row r="214">
      <c r="B214">
        <f>IF($A214="","",XLOOKUP($A214,Clients!$A:$A,Clients!$D:$D)&amp;" "&amp;XLOOKUP($A214,Clients!$A:$A,Clients!$E:$E))</f>
        <v/>
      </c>
      <c r="C214">
        <f>IF($A214="","",DATEDIF(XLOOKUP($A214,Clients!$A:$A,Clients!$F:$F),VAL_DATE,"Y"))</f>
        <v/>
      </c>
      <c r="D214">
        <f>IF(OR($A214="",E214=""),"",E214-C214)</f>
        <v/>
      </c>
      <c r="E214">
        <f>IF($A214="","",XLOOKUP($A214,RetirementPlan!$B:$B,RetirementPlan!$C:$C,""))</f>
        <v/>
      </c>
      <c r="F214" s="9">
        <f>IF(OR($A214="",D214=""),"",FV(IF(IFERROR(XLOOKUP($A214,RetirementPlan!$B:$B,RetirementPlan!$K:$K,""),"")="",GROWTH,IFERROR(XLOOKUP($A214,RetirementPlan!$B:$B,RetirementPlan!$K:$K,""),"")),D214,-N(XLOOKUP($A214,RetirementPlan!$B:$B,RetirementPlan!$I:$I,0)),-SUMIFS(Assets!$J:$J,Assets!$B:$B,$A214,Assets!$R:$R,"Yes"),0))</f>
        <v/>
      </c>
      <c r="G214" s="9">
        <f>IF(OR($A214="",I214=""),"",MAX(0,(I214-J214)/IF(IFERROR(XLOOKUP($A214,RetirementPlan!$B:$B,RetirementPlan!$M:$M,""),"")="",SWR,IFERROR(XLOOKUP($A214,RetirementPlan!$B:$B,RetirementPlan!$M:$M,""),""))))</f>
        <v/>
      </c>
      <c r="H214" s="9">
        <f>IF(OR($A214="",F214="",G214=""),"",F214-G214)</f>
        <v/>
      </c>
      <c r="I214" s="9">
        <f>IF($A214="","",XLOOKUP($A214,RetirementPlan!$B:$B,RetirementPlan!$E:$E,""))</f>
        <v/>
      </c>
      <c r="J214" s="9">
        <f>IF($A214="","",N(XLOOKUP($A214,RetirementPlan!$B:$B,RetirementPlan!$G:$G,0))+N(XLOOKUP($A214,RetirementPlan!$B:$B,RetirementPlan!$H:$H,0)))</f>
        <v/>
      </c>
      <c r="K214">
        <f>IF($A214="","",IF(NOT(ISBLANK(XLOOKUP($A214,RetirementPlan!$B:$B,RetirementPlan!$N:$N,""))),XLOOKUP($A214,RetirementPlan!$B:$B,RetirementPlan!$N:$N,""),LET(cid,$A214,c,FILTER(LocationPlan!$D:$D,LocationPlan!$C:$C=cid),p,FILTER(LocationPlan!$E:$E,LocationPlan!$C:$C=cid),IFERROR(INDEX(c,MATCH(MAX(p),p,0)),""))))</f>
        <v/>
      </c>
    </row>
    <row r="215">
      <c r="B215">
        <f>IF($A215="","",XLOOKUP($A215,Clients!$A:$A,Clients!$D:$D)&amp;" "&amp;XLOOKUP($A215,Clients!$A:$A,Clients!$E:$E))</f>
        <v/>
      </c>
      <c r="C215">
        <f>IF($A215="","",DATEDIF(XLOOKUP($A215,Clients!$A:$A,Clients!$F:$F),VAL_DATE,"Y"))</f>
        <v/>
      </c>
      <c r="D215">
        <f>IF(OR($A215="",E215=""),"",E215-C215)</f>
        <v/>
      </c>
      <c r="E215">
        <f>IF($A215="","",XLOOKUP($A215,RetirementPlan!$B:$B,RetirementPlan!$C:$C,""))</f>
        <v/>
      </c>
      <c r="F215" s="9">
        <f>IF(OR($A215="",D215=""),"",FV(IF(IFERROR(XLOOKUP($A215,RetirementPlan!$B:$B,RetirementPlan!$K:$K,""),"")="",GROWTH,IFERROR(XLOOKUP($A215,RetirementPlan!$B:$B,RetirementPlan!$K:$K,""),"")),D215,-N(XLOOKUP($A215,RetirementPlan!$B:$B,RetirementPlan!$I:$I,0)),-SUMIFS(Assets!$J:$J,Assets!$B:$B,$A215,Assets!$R:$R,"Yes"),0))</f>
        <v/>
      </c>
      <c r="G215" s="9">
        <f>IF(OR($A215="",I215=""),"",MAX(0,(I215-J215)/IF(IFERROR(XLOOKUP($A215,RetirementPlan!$B:$B,RetirementPlan!$M:$M,""),"")="",SWR,IFERROR(XLOOKUP($A215,RetirementPlan!$B:$B,RetirementPlan!$M:$M,""),""))))</f>
        <v/>
      </c>
      <c r="H215" s="9">
        <f>IF(OR($A215="",F215="",G215=""),"",F215-G215)</f>
        <v/>
      </c>
      <c r="I215" s="9">
        <f>IF($A215="","",XLOOKUP($A215,RetirementPlan!$B:$B,RetirementPlan!$E:$E,""))</f>
        <v/>
      </c>
      <c r="J215" s="9">
        <f>IF($A215="","",N(XLOOKUP($A215,RetirementPlan!$B:$B,RetirementPlan!$G:$G,0))+N(XLOOKUP($A215,RetirementPlan!$B:$B,RetirementPlan!$H:$H,0)))</f>
        <v/>
      </c>
      <c r="K215">
        <f>IF($A215="","",IF(NOT(ISBLANK(XLOOKUP($A215,RetirementPlan!$B:$B,RetirementPlan!$N:$N,""))),XLOOKUP($A215,RetirementPlan!$B:$B,RetirementPlan!$N:$N,""),LET(cid,$A215,c,FILTER(LocationPlan!$D:$D,LocationPlan!$C:$C=cid),p,FILTER(LocationPlan!$E:$E,LocationPlan!$C:$C=cid),IFERROR(INDEX(c,MATCH(MAX(p),p,0)),""))))</f>
        <v/>
      </c>
    </row>
    <row r="216">
      <c r="B216">
        <f>IF($A216="","",XLOOKUP($A216,Clients!$A:$A,Clients!$D:$D)&amp;" "&amp;XLOOKUP($A216,Clients!$A:$A,Clients!$E:$E))</f>
        <v/>
      </c>
      <c r="C216">
        <f>IF($A216="","",DATEDIF(XLOOKUP($A216,Clients!$A:$A,Clients!$F:$F),VAL_DATE,"Y"))</f>
        <v/>
      </c>
      <c r="D216">
        <f>IF(OR($A216="",E216=""),"",E216-C216)</f>
        <v/>
      </c>
      <c r="E216">
        <f>IF($A216="","",XLOOKUP($A216,RetirementPlan!$B:$B,RetirementPlan!$C:$C,""))</f>
        <v/>
      </c>
      <c r="F216" s="9">
        <f>IF(OR($A216="",D216=""),"",FV(IF(IFERROR(XLOOKUP($A216,RetirementPlan!$B:$B,RetirementPlan!$K:$K,""),"")="",GROWTH,IFERROR(XLOOKUP($A216,RetirementPlan!$B:$B,RetirementPlan!$K:$K,""),"")),D216,-N(XLOOKUP($A216,RetirementPlan!$B:$B,RetirementPlan!$I:$I,0)),-SUMIFS(Assets!$J:$J,Assets!$B:$B,$A216,Assets!$R:$R,"Yes"),0))</f>
        <v/>
      </c>
      <c r="G216" s="9">
        <f>IF(OR($A216="",I216=""),"",MAX(0,(I216-J216)/IF(IFERROR(XLOOKUP($A216,RetirementPlan!$B:$B,RetirementPlan!$M:$M,""),"")="",SWR,IFERROR(XLOOKUP($A216,RetirementPlan!$B:$B,RetirementPlan!$M:$M,""),""))))</f>
        <v/>
      </c>
      <c r="H216" s="9">
        <f>IF(OR($A216="",F216="",G216=""),"",F216-G216)</f>
        <v/>
      </c>
      <c r="I216" s="9">
        <f>IF($A216="","",XLOOKUP($A216,RetirementPlan!$B:$B,RetirementPlan!$E:$E,""))</f>
        <v/>
      </c>
      <c r="J216" s="9">
        <f>IF($A216="","",N(XLOOKUP($A216,RetirementPlan!$B:$B,RetirementPlan!$G:$G,0))+N(XLOOKUP($A216,RetirementPlan!$B:$B,RetirementPlan!$H:$H,0)))</f>
        <v/>
      </c>
      <c r="K216">
        <f>IF($A216="","",IF(NOT(ISBLANK(XLOOKUP($A216,RetirementPlan!$B:$B,RetirementPlan!$N:$N,""))),XLOOKUP($A216,RetirementPlan!$B:$B,RetirementPlan!$N:$N,""),LET(cid,$A216,c,FILTER(LocationPlan!$D:$D,LocationPlan!$C:$C=cid),p,FILTER(LocationPlan!$E:$E,LocationPlan!$C:$C=cid),IFERROR(INDEX(c,MATCH(MAX(p),p,0)),""))))</f>
        <v/>
      </c>
    </row>
    <row r="217">
      <c r="B217">
        <f>IF($A217="","",XLOOKUP($A217,Clients!$A:$A,Clients!$D:$D)&amp;" "&amp;XLOOKUP($A217,Clients!$A:$A,Clients!$E:$E))</f>
        <v/>
      </c>
      <c r="C217">
        <f>IF($A217="","",DATEDIF(XLOOKUP($A217,Clients!$A:$A,Clients!$F:$F),VAL_DATE,"Y"))</f>
        <v/>
      </c>
      <c r="D217">
        <f>IF(OR($A217="",E217=""),"",E217-C217)</f>
        <v/>
      </c>
      <c r="E217">
        <f>IF($A217="","",XLOOKUP($A217,RetirementPlan!$B:$B,RetirementPlan!$C:$C,""))</f>
        <v/>
      </c>
      <c r="F217" s="9">
        <f>IF(OR($A217="",D217=""),"",FV(IF(IFERROR(XLOOKUP($A217,RetirementPlan!$B:$B,RetirementPlan!$K:$K,""),"")="",GROWTH,IFERROR(XLOOKUP($A217,RetirementPlan!$B:$B,RetirementPlan!$K:$K,""),"")),D217,-N(XLOOKUP($A217,RetirementPlan!$B:$B,RetirementPlan!$I:$I,0)),-SUMIFS(Assets!$J:$J,Assets!$B:$B,$A217,Assets!$R:$R,"Yes"),0))</f>
        <v/>
      </c>
      <c r="G217" s="9">
        <f>IF(OR($A217="",I217=""),"",MAX(0,(I217-J217)/IF(IFERROR(XLOOKUP($A217,RetirementPlan!$B:$B,RetirementPlan!$M:$M,""),"")="",SWR,IFERROR(XLOOKUP($A217,RetirementPlan!$B:$B,RetirementPlan!$M:$M,""),""))))</f>
        <v/>
      </c>
      <c r="H217" s="9">
        <f>IF(OR($A217="",F217="",G217=""),"",F217-G217)</f>
        <v/>
      </c>
      <c r="I217" s="9">
        <f>IF($A217="","",XLOOKUP($A217,RetirementPlan!$B:$B,RetirementPlan!$E:$E,""))</f>
        <v/>
      </c>
      <c r="J217" s="9">
        <f>IF($A217="","",N(XLOOKUP($A217,RetirementPlan!$B:$B,RetirementPlan!$G:$G,0))+N(XLOOKUP($A217,RetirementPlan!$B:$B,RetirementPlan!$H:$H,0)))</f>
        <v/>
      </c>
      <c r="K217">
        <f>IF($A217="","",IF(NOT(ISBLANK(XLOOKUP($A217,RetirementPlan!$B:$B,RetirementPlan!$N:$N,""))),XLOOKUP($A217,RetirementPlan!$B:$B,RetirementPlan!$N:$N,""),LET(cid,$A217,c,FILTER(LocationPlan!$D:$D,LocationPlan!$C:$C=cid),p,FILTER(LocationPlan!$E:$E,LocationPlan!$C:$C=cid),IFERROR(INDEX(c,MATCH(MAX(p),p,0)),""))))</f>
        <v/>
      </c>
    </row>
    <row r="218">
      <c r="B218">
        <f>IF($A218="","",XLOOKUP($A218,Clients!$A:$A,Clients!$D:$D)&amp;" "&amp;XLOOKUP($A218,Clients!$A:$A,Clients!$E:$E))</f>
        <v/>
      </c>
      <c r="C218">
        <f>IF($A218="","",DATEDIF(XLOOKUP($A218,Clients!$A:$A,Clients!$F:$F),VAL_DATE,"Y"))</f>
        <v/>
      </c>
      <c r="D218">
        <f>IF(OR($A218="",E218=""),"",E218-C218)</f>
        <v/>
      </c>
      <c r="E218">
        <f>IF($A218="","",XLOOKUP($A218,RetirementPlan!$B:$B,RetirementPlan!$C:$C,""))</f>
        <v/>
      </c>
      <c r="F218" s="9">
        <f>IF(OR($A218="",D218=""),"",FV(IF(IFERROR(XLOOKUP($A218,RetirementPlan!$B:$B,RetirementPlan!$K:$K,""),"")="",GROWTH,IFERROR(XLOOKUP($A218,RetirementPlan!$B:$B,RetirementPlan!$K:$K,""),"")),D218,-N(XLOOKUP($A218,RetirementPlan!$B:$B,RetirementPlan!$I:$I,0)),-SUMIFS(Assets!$J:$J,Assets!$B:$B,$A218,Assets!$R:$R,"Yes"),0))</f>
        <v/>
      </c>
      <c r="G218" s="9">
        <f>IF(OR($A218="",I218=""),"",MAX(0,(I218-J218)/IF(IFERROR(XLOOKUP($A218,RetirementPlan!$B:$B,RetirementPlan!$M:$M,""),"")="",SWR,IFERROR(XLOOKUP($A218,RetirementPlan!$B:$B,RetirementPlan!$M:$M,""),""))))</f>
        <v/>
      </c>
      <c r="H218" s="9">
        <f>IF(OR($A218="",F218="",G218=""),"",F218-G218)</f>
        <v/>
      </c>
      <c r="I218" s="9">
        <f>IF($A218="","",XLOOKUP($A218,RetirementPlan!$B:$B,RetirementPlan!$E:$E,""))</f>
        <v/>
      </c>
      <c r="J218" s="9">
        <f>IF($A218="","",N(XLOOKUP($A218,RetirementPlan!$B:$B,RetirementPlan!$G:$G,0))+N(XLOOKUP($A218,RetirementPlan!$B:$B,RetirementPlan!$H:$H,0)))</f>
        <v/>
      </c>
      <c r="K218">
        <f>IF($A218="","",IF(NOT(ISBLANK(XLOOKUP($A218,RetirementPlan!$B:$B,RetirementPlan!$N:$N,""))),XLOOKUP($A218,RetirementPlan!$B:$B,RetirementPlan!$N:$N,""),LET(cid,$A218,c,FILTER(LocationPlan!$D:$D,LocationPlan!$C:$C=cid),p,FILTER(LocationPlan!$E:$E,LocationPlan!$C:$C=cid),IFERROR(INDEX(c,MATCH(MAX(p),p,0)),""))))</f>
        <v/>
      </c>
    </row>
    <row r="219">
      <c r="B219">
        <f>IF($A219="","",XLOOKUP($A219,Clients!$A:$A,Clients!$D:$D)&amp;" "&amp;XLOOKUP($A219,Clients!$A:$A,Clients!$E:$E))</f>
        <v/>
      </c>
      <c r="C219">
        <f>IF($A219="","",DATEDIF(XLOOKUP($A219,Clients!$A:$A,Clients!$F:$F),VAL_DATE,"Y"))</f>
        <v/>
      </c>
      <c r="D219">
        <f>IF(OR($A219="",E219=""),"",E219-C219)</f>
        <v/>
      </c>
      <c r="E219">
        <f>IF($A219="","",XLOOKUP($A219,RetirementPlan!$B:$B,RetirementPlan!$C:$C,""))</f>
        <v/>
      </c>
      <c r="F219" s="9">
        <f>IF(OR($A219="",D219=""),"",FV(IF(IFERROR(XLOOKUP($A219,RetirementPlan!$B:$B,RetirementPlan!$K:$K,""),"")="",GROWTH,IFERROR(XLOOKUP($A219,RetirementPlan!$B:$B,RetirementPlan!$K:$K,""),"")),D219,-N(XLOOKUP($A219,RetirementPlan!$B:$B,RetirementPlan!$I:$I,0)),-SUMIFS(Assets!$J:$J,Assets!$B:$B,$A219,Assets!$R:$R,"Yes"),0))</f>
        <v/>
      </c>
      <c r="G219" s="9">
        <f>IF(OR($A219="",I219=""),"",MAX(0,(I219-J219)/IF(IFERROR(XLOOKUP($A219,RetirementPlan!$B:$B,RetirementPlan!$M:$M,""),"")="",SWR,IFERROR(XLOOKUP($A219,RetirementPlan!$B:$B,RetirementPlan!$M:$M,""),""))))</f>
        <v/>
      </c>
      <c r="H219" s="9">
        <f>IF(OR($A219="",F219="",G219=""),"",F219-G219)</f>
        <v/>
      </c>
      <c r="I219" s="9">
        <f>IF($A219="","",XLOOKUP($A219,RetirementPlan!$B:$B,RetirementPlan!$E:$E,""))</f>
        <v/>
      </c>
      <c r="J219" s="9">
        <f>IF($A219="","",N(XLOOKUP($A219,RetirementPlan!$B:$B,RetirementPlan!$G:$G,0))+N(XLOOKUP($A219,RetirementPlan!$B:$B,RetirementPlan!$H:$H,0)))</f>
        <v/>
      </c>
      <c r="K219">
        <f>IF($A219="","",IF(NOT(ISBLANK(XLOOKUP($A219,RetirementPlan!$B:$B,RetirementPlan!$N:$N,""))),XLOOKUP($A219,RetirementPlan!$B:$B,RetirementPlan!$N:$N,""),LET(cid,$A219,c,FILTER(LocationPlan!$D:$D,LocationPlan!$C:$C=cid),p,FILTER(LocationPlan!$E:$E,LocationPlan!$C:$C=cid),IFERROR(INDEX(c,MATCH(MAX(p),p,0)),""))))</f>
        <v/>
      </c>
    </row>
    <row r="220">
      <c r="B220">
        <f>IF($A220="","",XLOOKUP($A220,Clients!$A:$A,Clients!$D:$D)&amp;" "&amp;XLOOKUP($A220,Clients!$A:$A,Clients!$E:$E))</f>
        <v/>
      </c>
      <c r="C220">
        <f>IF($A220="","",DATEDIF(XLOOKUP($A220,Clients!$A:$A,Clients!$F:$F),VAL_DATE,"Y"))</f>
        <v/>
      </c>
      <c r="D220">
        <f>IF(OR($A220="",E220=""),"",E220-C220)</f>
        <v/>
      </c>
      <c r="E220">
        <f>IF($A220="","",XLOOKUP($A220,RetirementPlan!$B:$B,RetirementPlan!$C:$C,""))</f>
        <v/>
      </c>
      <c r="F220" s="9">
        <f>IF(OR($A220="",D220=""),"",FV(IF(IFERROR(XLOOKUP($A220,RetirementPlan!$B:$B,RetirementPlan!$K:$K,""),"")="",GROWTH,IFERROR(XLOOKUP($A220,RetirementPlan!$B:$B,RetirementPlan!$K:$K,""),"")),D220,-N(XLOOKUP($A220,RetirementPlan!$B:$B,RetirementPlan!$I:$I,0)),-SUMIFS(Assets!$J:$J,Assets!$B:$B,$A220,Assets!$R:$R,"Yes"),0))</f>
        <v/>
      </c>
      <c r="G220" s="9">
        <f>IF(OR($A220="",I220=""),"",MAX(0,(I220-J220)/IF(IFERROR(XLOOKUP($A220,RetirementPlan!$B:$B,RetirementPlan!$M:$M,""),"")="",SWR,IFERROR(XLOOKUP($A220,RetirementPlan!$B:$B,RetirementPlan!$M:$M,""),""))))</f>
        <v/>
      </c>
      <c r="H220" s="9">
        <f>IF(OR($A220="",F220="",G220=""),"",F220-G220)</f>
        <v/>
      </c>
      <c r="I220" s="9">
        <f>IF($A220="","",XLOOKUP($A220,RetirementPlan!$B:$B,RetirementPlan!$E:$E,""))</f>
        <v/>
      </c>
      <c r="J220" s="9">
        <f>IF($A220="","",N(XLOOKUP($A220,RetirementPlan!$B:$B,RetirementPlan!$G:$G,0))+N(XLOOKUP($A220,RetirementPlan!$B:$B,RetirementPlan!$H:$H,0)))</f>
        <v/>
      </c>
      <c r="K220">
        <f>IF($A220="","",IF(NOT(ISBLANK(XLOOKUP($A220,RetirementPlan!$B:$B,RetirementPlan!$N:$N,""))),XLOOKUP($A220,RetirementPlan!$B:$B,RetirementPlan!$N:$N,""),LET(cid,$A220,c,FILTER(LocationPlan!$D:$D,LocationPlan!$C:$C=cid),p,FILTER(LocationPlan!$E:$E,LocationPlan!$C:$C=cid),IFERROR(INDEX(c,MATCH(MAX(p),p,0)),""))))</f>
        <v/>
      </c>
    </row>
    <row r="221">
      <c r="B221">
        <f>IF($A221="","",XLOOKUP($A221,Clients!$A:$A,Clients!$D:$D)&amp;" "&amp;XLOOKUP($A221,Clients!$A:$A,Clients!$E:$E))</f>
        <v/>
      </c>
      <c r="C221">
        <f>IF($A221="","",DATEDIF(XLOOKUP($A221,Clients!$A:$A,Clients!$F:$F),VAL_DATE,"Y"))</f>
        <v/>
      </c>
      <c r="D221">
        <f>IF(OR($A221="",E221=""),"",E221-C221)</f>
        <v/>
      </c>
      <c r="E221">
        <f>IF($A221="","",XLOOKUP($A221,RetirementPlan!$B:$B,RetirementPlan!$C:$C,""))</f>
        <v/>
      </c>
      <c r="F221" s="9">
        <f>IF(OR($A221="",D221=""),"",FV(IF(IFERROR(XLOOKUP($A221,RetirementPlan!$B:$B,RetirementPlan!$K:$K,""),"")="",GROWTH,IFERROR(XLOOKUP($A221,RetirementPlan!$B:$B,RetirementPlan!$K:$K,""),"")),D221,-N(XLOOKUP($A221,RetirementPlan!$B:$B,RetirementPlan!$I:$I,0)),-SUMIFS(Assets!$J:$J,Assets!$B:$B,$A221,Assets!$R:$R,"Yes"),0))</f>
        <v/>
      </c>
      <c r="G221" s="9">
        <f>IF(OR($A221="",I221=""),"",MAX(0,(I221-J221)/IF(IFERROR(XLOOKUP($A221,RetirementPlan!$B:$B,RetirementPlan!$M:$M,""),"")="",SWR,IFERROR(XLOOKUP($A221,RetirementPlan!$B:$B,RetirementPlan!$M:$M,""),""))))</f>
        <v/>
      </c>
      <c r="H221" s="9">
        <f>IF(OR($A221="",F221="",G221=""),"",F221-G221)</f>
        <v/>
      </c>
      <c r="I221" s="9">
        <f>IF($A221="","",XLOOKUP($A221,RetirementPlan!$B:$B,RetirementPlan!$E:$E,""))</f>
        <v/>
      </c>
      <c r="J221" s="9">
        <f>IF($A221="","",N(XLOOKUP($A221,RetirementPlan!$B:$B,RetirementPlan!$G:$G,0))+N(XLOOKUP($A221,RetirementPlan!$B:$B,RetirementPlan!$H:$H,0)))</f>
        <v/>
      </c>
      <c r="K221">
        <f>IF($A221="","",IF(NOT(ISBLANK(XLOOKUP($A221,RetirementPlan!$B:$B,RetirementPlan!$N:$N,""))),XLOOKUP($A221,RetirementPlan!$B:$B,RetirementPlan!$N:$N,""),LET(cid,$A221,c,FILTER(LocationPlan!$D:$D,LocationPlan!$C:$C=cid),p,FILTER(LocationPlan!$E:$E,LocationPlan!$C:$C=cid),IFERROR(INDEX(c,MATCH(MAX(p),p,0)),""))))</f>
        <v/>
      </c>
    </row>
    <row r="222">
      <c r="B222">
        <f>IF($A222="","",XLOOKUP($A222,Clients!$A:$A,Clients!$D:$D)&amp;" "&amp;XLOOKUP($A222,Clients!$A:$A,Clients!$E:$E))</f>
        <v/>
      </c>
      <c r="C222">
        <f>IF($A222="","",DATEDIF(XLOOKUP($A222,Clients!$A:$A,Clients!$F:$F),VAL_DATE,"Y"))</f>
        <v/>
      </c>
      <c r="D222">
        <f>IF(OR($A222="",E222=""),"",E222-C222)</f>
        <v/>
      </c>
      <c r="E222">
        <f>IF($A222="","",XLOOKUP($A222,RetirementPlan!$B:$B,RetirementPlan!$C:$C,""))</f>
        <v/>
      </c>
      <c r="F222" s="9">
        <f>IF(OR($A222="",D222=""),"",FV(IF(IFERROR(XLOOKUP($A222,RetirementPlan!$B:$B,RetirementPlan!$K:$K,""),"")="",GROWTH,IFERROR(XLOOKUP($A222,RetirementPlan!$B:$B,RetirementPlan!$K:$K,""),"")),D222,-N(XLOOKUP($A222,RetirementPlan!$B:$B,RetirementPlan!$I:$I,0)),-SUMIFS(Assets!$J:$J,Assets!$B:$B,$A222,Assets!$R:$R,"Yes"),0))</f>
        <v/>
      </c>
      <c r="G222" s="9">
        <f>IF(OR($A222="",I222=""),"",MAX(0,(I222-J222)/IF(IFERROR(XLOOKUP($A222,RetirementPlan!$B:$B,RetirementPlan!$M:$M,""),"")="",SWR,IFERROR(XLOOKUP($A222,RetirementPlan!$B:$B,RetirementPlan!$M:$M,""),""))))</f>
        <v/>
      </c>
      <c r="H222" s="9">
        <f>IF(OR($A222="",F222="",G222=""),"",F222-G222)</f>
        <v/>
      </c>
      <c r="I222" s="9">
        <f>IF($A222="","",XLOOKUP($A222,RetirementPlan!$B:$B,RetirementPlan!$E:$E,""))</f>
        <v/>
      </c>
      <c r="J222" s="9">
        <f>IF($A222="","",N(XLOOKUP($A222,RetirementPlan!$B:$B,RetirementPlan!$G:$G,0))+N(XLOOKUP($A222,RetirementPlan!$B:$B,RetirementPlan!$H:$H,0)))</f>
        <v/>
      </c>
      <c r="K222">
        <f>IF($A222="","",IF(NOT(ISBLANK(XLOOKUP($A222,RetirementPlan!$B:$B,RetirementPlan!$N:$N,""))),XLOOKUP($A222,RetirementPlan!$B:$B,RetirementPlan!$N:$N,""),LET(cid,$A222,c,FILTER(LocationPlan!$D:$D,LocationPlan!$C:$C=cid),p,FILTER(LocationPlan!$E:$E,LocationPlan!$C:$C=cid),IFERROR(INDEX(c,MATCH(MAX(p),p,0)),""))))</f>
        <v/>
      </c>
    </row>
    <row r="223">
      <c r="B223">
        <f>IF($A223="","",XLOOKUP($A223,Clients!$A:$A,Clients!$D:$D)&amp;" "&amp;XLOOKUP($A223,Clients!$A:$A,Clients!$E:$E))</f>
        <v/>
      </c>
      <c r="C223">
        <f>IF($A223="","",DATEDIF(XLOOKUP($A223,Clients!$A:$A,Clients!$F:$F),VAL_DATE,"Y"))</f>
        <v/>
      </c>
      <c r="D223">
        <f>IF(OR($A223="",E223=""),"",E223-C223)</f>
        <v/>
      </c>
      <c r="E223">
        <f>IF($A223="","",XLOOKUP($A223,RetirementPlan!$B:$B,RetirementPlan!$C:$C,""))</f>
        <v/>
      </c>
      <c r="F223" s="9">
        <f>IF(OR($A223="",D223=""),"",FV(IF(IFERROR(XLOOKUP($A223,RetirementPlan!$B:$B,RetirementPlan!$K:$K,""),"")="",GROWTH,IFERROR(XLOOKUP($A223,RetirementPlan!$B:$B,RetirementPlan!$K:$K,""),"")),D223,-N(XLOOKUP($A223,RetirementPlan!$B:$B,RetirementPlan!$I:$I,0)),-SUMIFS(Assets!$J:$J,Assets!$B:$B,$A223,Assets!$R:$R,"Yes"),0))</f>
        <v/>
      </c>
      <c r="G223" s="9">
        <f>IF(OR($A223="",I223=""),"",MAX(0,(I223-J223)/IF(IFERROR(XLOOKUP($A223,RetirementPlan!$B:$B,RetirementPlan!$M:$M,""),"")="",SWR,IFERROR(XLOOKUP($A223,RetirementPlan!$B:$B,RetirementPlan!$M:$M,""),""))))</f>
        <v/>
      </c>
      <c r="H223" s="9">
        <f>IF(OR($A223="",F223="",G223=""),"",F223-G223)</f>
        <v/>
      </c>
      <c r="I223" s="9">
        <f>IF($A223="","",XLOOKUP($A223,RetirementPlan!$B:$B,RetirementPlan!$E:$E,""))</f>
        <v/>
      </c>
      <c r="J223" s="9">
        <f>IF($A223="","",N(XLOOKUP($A223,RetirementPlan!$B:$B,RetirementPlan!$G:$G,0))+N(XLOOKUP($A223,RetirementPlan!$B:$B,RetirementPlan!$H:$H,0)))</f>
        <v/>
      </c>
      <c r="K223">
        <f>IF($A223="","",IF(NOT(ISBLANK(XLOOKUP($A223,RetirementPlan!$B:$B,RetirementPlan!$N:$N,""))),XLOOKUP($A223,RetirementPlan!$B:$B,RetirementPlan!$N:$N,""),LET(cid,$A223,c,FILTER(LocationPlan!$D:$D,LocationPlan!$C:$C=cid),p,FILTER(LocationPlan!$E:$E,LocationPlan!$C:$C=cid),IFERROR(INDEX(c,MATCH(MAX(p),p,0)),""))))</f>
        <v/>
      </c>
    </row>
    <row r="224">
      <c r="B224">
        <f>IF($A224="","",XLOOKUP($A224,Clients!$A:$A,Clients!$D:$D)&amp;" "&amp;XLOOKUP($A224,Clients!$A:$A,Clients!$E:$E))</f>
        <v/>
      </c>
      <c r="C224">
        <f>IF($A224="","",DATEDIF(XLOOKUP($A224,Clients!$A:$A,Clients!$F:$F),VAL_DATE,"Y"))</f>
        <v/>
      </c>
      <c r="D224">
        <f>IF(OR($A224="",E224=""),"",E224-C224)</f>
        <v/>
      </c>
      <c r="E224">
        <f>IF($A224="","",XLOOKUP($A224,RetirementPlan!$B:$B,RetirementPlan!$C:$C,""))</f>
        <v/>
      </c>
      <c r="F224" s="9">
        <f>IF(OR($A224="",D224=""),"",FV(IF(IFERROR(XLOOKUP($A224,RetirementPlan!$B:$B,RetirementPlan!$K:$K,""),"")="",GROWTH,IFERROR(XLOOKUP($A224,RetirementPlan!$B:$B,RetirementPlan!$K:$K,""),"")),D224,-N(XLOOKUP($A224,RetirementPlan!$B:$B,RetirementPlan!$I:$I,0)),-SUMIFS(Assets!$J:$J,Assets!$B:$B,$A224,Assets!$R:$R,"Yes"),0))</f>
        <v/>
      </c>
      <c r="G224" s="9">
        <f>IF(OR($A224="",I224=""),"",MAX(0,(I224-J224)/IF(IFERROR(XLOOKUP($A224,RetirementPlan!$B:$B,RetirementPlan!$M:$M,""),"")="",SWR,IFERROR(XLOOKUP($A224,RetirementPlan!$B:$B,RetirementPlan!$M:$M,""),""))))</f>
        <v/>
      </c>
      <c r="H224" s="9">
        <f>IF(OR($A224="",F224="",G224=""),"",F224-G224)</f>
        <v/>
      </c>
      <c r="I224" s="9">
        <f>IF($A224="","",XLOOKUP($A224,RetirementPlan!$B:$B,RetirementPlan!$E:$E,""))</f>
        <v/>
      </c>
      <c r="J224" s="9">
        <f>IF($A224="","",N(XLOOKUP($A224,RetirementPlan!$B:$B,RetirementPlan!$G:$G,0))+N(XLOOKUP($A224,RetirementPlan!$B:$B,RetirementPlan!$H:$H,0)))</f>
        <v/>
      </c>
      <c r="K224">
        <f>IF($A224="","",IF(NOT(ISBLANK(XLOOKUP($A224,RetirementPlan!$B:$B,RetirementPlan!$N:$N,""))),XLOOKUP($A224,RetirementPlan!$B:$B,RetirementPlan!$N:$N,""),LET(cid,$A224,c,FILTER(LocationPlan!$D:$D,LocationPlan!$C:$C=cid),p,FILTER(LocationPlan!$E:$E,LocationPlan!$C:$C=cid),IFERROR(INDEX(c,MATCH(MAX(p),p,0)),""))))</f>
        <v/>
      </c>
    </row>
    <row r="225">
      <c r="B225">
        <f>IF($A225="","",XLOOKUP($A225,Clients!$A:$A,Clients!$D:$D)&amp;" "&amp;XLOOKUP($A225,Clients!$A:$A,Clients!$E:$E))</f>
        <v/>
      </c>
      <c r="C225">
        <f>IF($A225="","",DATEDIF(XLOOKUP($A225,Clients!$A:$A,Clients!$F:$F),VAL_DATE,"Y"))</f>
        <v/>
      </c>
      <c r="D225">
        <f>IF(OR($A225="",E225=""),"",E225-C225)</f>
        <v/>
      </c>
      <c r="E225">
        <f>IF($A225="","",XLOOKUP($A225,RetirementPlan!$B:$B,RetirementPlan!$C:$C,""))</f>
        <v/>
      </c>
      <c r="F225" s="9">
        <f>IF(OR($A225="",D225=""),"",FV(IF(IFERROR(XLOOKUP($A225,RetirementPlan!$B:$B,RetirementPlan!$K:$K,""),"")="",GROWTH,IFERROR(XLOOKUP($A225,RetirementPlan!$B:$B,RetirementPlan!$K:$K,""),"")),D225,-N(XLOOKUP($A225,RetirementPlan!$B:$B,RetirementPlan!$I:$I,0)),-SUMIFS(Assets!$J:$J,Assets!$B:$B,$A225,Assets!$R:$R,"Yes"),0))</f>
        <v/>
      </c>
      <c r="G225" s="9">
        <f>IF(OR($A225="",I225=""),"",MAX(0,(I225-J225)/IF(IFERROR(XLOOKUP($A225,RetirementPlan!$B:$B,RetirementPlan!$M:$M,""),"")="",SWR,IFERROR(XLOOKUP($A225,RetirementPlan!$B:$B,RetirementPlan!$M:$M,""),""))))</f>
        <v/>
      </c>
      <c r="H225" s="9">
        <f>IF(OR($A225="",F225="",G225=""),"",F225-G225)</f>
        <v/>
      </c>
      <c r="I225" s="9">
        <f>IF($A225="","",XLOOKUP($A225,RetirementPlan!$B:$B,RetirementPlan!$E:$E,""))</f>
        <v/>
      </c>
      <c r="J225" s="9">
        <f>IF($A225="","",N(XLOOKUP($A225,RetirementPlan!$B:$B,RetirementPlan!$G:$G,0))+N(XLOOKUP($A225,RetirementPlan!$B:$B,RetirementPlan!$H:$H,0)))</f>
        <v/>
      </c>
      <c r="K225">
        <f>IF($A225="","",IF(NOT(ISBLANK(XLOOKUP($A225,RetirementPlan!$B:$B,RetirementPlan!$N:$N,""))),XLOOKUP($A225,RetirementPlan!$B:$B,RetirementPlan!$N:$N,""),LET(cid,$A225,c,FILTER(LocationPlan!$D:$D,LocationPlan!$C:$C=cid),p,FILTER(LocationPlan!$E:$E,LocationPlan!$C:$C=cid),IFERROR(INDEX(c,MATCH(MAX(p),p,0)),""))))</f>
        <v/>
      </c>
    </row>
    <row r="226">
      <c r="B226">
        <f>IF($A226="","",XLOOKUP($A226,Clients!$A:$A,Clients!$D:$D)&amp;" "&amp;XLOOKUP($A226,Clients!$A:$A,Clients!$E:$E))</f>
        <v/>
      </c>
      <c r="C226">
        <f>IF($A226="","",DATEDIF(XLOOKUP($A226,Clients!$A:$A,Clients!$F:$F),VAL_DATE,"Y"))</f>
        <v/>
      </c>
      <c r="D226">
        <f>IF(OR($A226="",E226=""),"",E226-C226)</f>
        <v/>
      </c>
      <c r="E226">
        <f>IF($A226="","",XLOOKUP($A226,RetirementPlan!$B:$B,RetirementPlan!$C:$C,""))</f>
        <v/>
      </c>
      <c r="F226" s="9">
        <f>IF(OR($A226="",D226=""),"",FV(IF(IFERROR(XLOOKUP($A226,RetirementPlan!$B:$B,RetirementPlan!$K:$K,""),"")="",GROWTH,IFERROR(XLOOKUP($A226,RetirementPlan!$B:$B,RetirementPlan!$K:$K,""),"")),D226,-N(XLOOKUP($A226,RetirementPlan!$B:$B,RetirementPlan!$I:$I,0)),-SUMIFS(Assets!$J:$J,Assets!$B:$B,$A226,Assets!$R:$R,"Yes"),0))</f>
        <v/>
      </c>
      <c r="G226" s="9">
        <f>IF(OR($A226="",I226=""),"",MAX(0,(I226-J226)/IF(IFERROR(XLOOKUP($A226,RetirementPlan!$B:$B,RetirementPlan!$M:$M,""),"")="",SWR,IFERROR(XLOOKUP($A226,RetirementPlan!$B:$B,RetirementPlan!$M:$M,""),""))))</f>
        <v/>
      </c>
      <c r="H226" s="9">
        <f>IF(OR($A226="",F226="",G226=""),"",F226-G226)</f>
        <v/>
      </c>
      <c r="I226" s="9">
        <f>IF($A226="","",XLOOKUP($A226,RetirementPlan!$B:$B,RetirementPlan!$E:$E,""))</f>
        <v/>
      </c>
      <c r="J226" s="9">
        <f>IF($A226="","",N(XLOOKUP($A226,RetirementPlan!$B:$B,RetirementPlan!$G:$G,0))+N(XLOOKUP($A226,RetirementPlan!$B:$B,RetirementPlan!$H:$H,0)))</f>
        <v/>
      </c>
      <c r="K226">
        <f>IF($A226="","",IF(NOT(ISBLANK(XLOOKUP($A226,RetirementPlan!$B:$B,RetirementPlan!$N:$N,""))),XLOOKUP($A226,RetirementPlan!$B:$B,RetirementPlan!$N:$N,""),LET(cid,$A226,c,FILTER(LocationPlan!$D:$D,LocationPlan!$C:$C=cid),p,FILTER(LocationPlan!$E:$E,LocationPlan!$C:$C=cid),IFERROR(INDEX(c,MATCH(MAX(p),p,0)),""))))</f>
        <v/>
      </c>
    </row>
    <row r="227">
      <c r="B227">
        <f>IF($A227="","",XLOOKUP($A227,Clients!$A:$A,Clients!$D:$D)&amp;" "&amp;XLOOKUP($A227,Clients!$A:$A,Clients!$E:$E))</f>
        <v/>
      </c>
      <c r="C227">
        <f>IF($A227="","",DATEDIF(XLOOKUP($A227,Clients!$A:$A,Clients!$F:$F),VAL_DATE,"Y"))</f>
        <v/>
      </c>
      <c r="D227">
        <f>IF(OR($A227="",E227=""),"",E227-C227)</f>
        <v/>
      </c>
      <c r="E227">
        <f>IF($A227="","",XLOOKUP($A227,RetirementPlan!$B:$B,RetirementPlan!$C:$C,""))</f>
        <v/>
      </c>
      <c r="F227" s="9">
        <f>IF(OR($A227="",D227=""),"",FV(IF(IFERROR(XLOOKUP($A227,RetirementPlan!$B:$B,RetirementPlan!$K:$K,""),"")="",GROWTH,IFERROR(XLOOKUP($A227,RetirementPlan!$B:$B,RetirementPlan!$K:$K,""),"")),D227,-N(XLOOKUP($A227,RetirementPlan!$B:$B,RetirementPlan!$I:$I,0)),-SUMIFS(Assets!$J:$J,Assets!$B:$B,$A227,Assets!$R:$R,"Yes"),0))</f>
        <v/>
      </c>
      <c r="G227" s="9">
        <f>IF(OR($A227="",I227=""),"",MAX(0,(I227-J227)/IF(IFERROR(XLOOKUP($A227,RetirementPlan!$B:$B,RetirementPlan!$M:$M,""),"")="",SWR,IFERROR(XLOOKUP($A227,RetirementPlan!$B:$B,RetirementPlan!$M:$M,""),""))))</f>
        <v/>
      </c>
      <c r="H227" s="9">
        <f>IF(OR($A227="",F227="",G227=""),"",F227-G227)</f>
        <v/>
      </c>
      <c r="I227" s="9">
        <f>IF($A227="","",XLOOKUP($A227,RetirementPlan!$B:$B,RetirementPlan!$E:$E,""))</f>
        <v/>
      </c>
      <c r="J227" s="9">
        <f>IF($A227="","",N(XLOOKUP($A227,RetirementPlan!$B:$B,RetirementPlan!$G:$G,0))+N(XLOOKUP($A227,RetirementPlan!$B:$B,RetirementPlan!$H:$H,0)))</f>
        <v/>
      </c>
      <c r="K227">
        <f>IF($A227="","",IF(NOT(ISBLANK(XLOOKUP($A227,RetirementPlan!$B:$B,RetirementPlan!$N:$N,""))),XLOOKUP($A227,RetirementPlan!$B:$B,RetirementPlan!$N:$N,""),LET(cid,$A227,c,FILTER(LocationPlan!$D:$D,LocationPlan!$C:$C=cid),p,FILTER(LocationPlan!$E:$E,LocationPlan!$C:$C=cid),IFERROR(INDEX(c,MATCH(MAX(p),p,0)),""))))</f>
        <v/>
      </c>
    </row>
    <row r="228">
      <c r="B228">
        <f>IF($A228="","",XLOOKUP($A228,Clients!$A:$A,Clients!$D:$D)&amp;" "&amp;XLOOKUP($A228,Clients!$A:$A,Clients!$E:$E))</f>
        <v/>
      </c>
      <c r="C228">
        <f>IF($A228="","",DATEDIF(XLOOKUP($A228,Clients!$A:$A,Clients!$F:$F),VAL_DATE,"Y"))</f>
        <v/>
      </c>
      <c r="D228">
        <f>IF(OR($A228="",E228=""),"",E228-C228)</f>
        <v/>
      </c>
      <c r="E228">
        <f>IF($A228="","",XLOOKUP($A228,RetirementPlan!$B:$B,RetirementPlan!$C:$C,""))</f>
        <v/>
      </c>
      <c r="F228" s="9">
        <f>IF(OR($A228="",D228=""),"",FV(IF(IFERROR(XLOOKUP($A228,RetirementPlan!$B:$B,RetirementPlan!$K:$K,""),"")="",GROWTH,IFERROR(XLOOKUP($A228,RetirementPlan!$B:$B,RetirementPlan!$K:$K,""),"")),D228,-N(XLOOKUP($A228,RetirementPlan!$B:$B,RetirementPlan!$I:$I,0)),-SUMIFS(Assets!$J:$J,Assets!$B:$B,$A228,Assets!$R:$R,"Yes"),0))</f>
        <v/>
      </c>
      <c r="G228" s="9">
        <f>IF(OR($A228="",I228=""),"",MAX(0,(I228-J228)/IF(IFERROR(XLOOKUP($A228,RetirementPlan!$B:$B,RetirementPlan!$M:$M,""),"")="",SWR,IFERROR(XLOOKUP($A228,RetirementPlan!$B:$B,RetirementPlan!$M:$M,""),""))))</f>
        <v/>
      </c>
      <c r="H228" s="9">
        <f>IF(OR($A228="",F228="",G228=""),"",F228-G228)</f>
        <v/>
      </c>
      <c r="I228" s="9">
        <f>IF($A228="","",XLOOKUP($A228,RetirementPlan!$B:$B,RetirementPlan!$E:$E,""))</f>
        <v/>
      </c>
      <c r="J228" s="9">
        <f>IF($A228="","",N(XLOOKUP($A228,RetirementPlan!$B:$B,RetirementPlan!$G:$G,0))+N(XLOOKUP($A228,RetirementPlan!$B:$B,RetirementPlan!$H:$H,0)))</f>
        <v/>
      </c>
      <c r="K228">
        <f>IF($A228="","",IF(NOT(ISBLANK(XLOOKUP($A228,RetirementPlan!$B:$B,RetirementPlan!$N:$N,""))),XLOOKUP($A228,RetirementPlan!$B:$B,RetirementPlan!$N:$N,""),LET(cid,$A228,c,FILTER(LocationPlan!$D:$D,LocationPlan!$C:$C=cid),p,FILTER(LocationPlan!$E:$E,LocationPlan!$C:$C=cid),IFERROR(INDEX(c,MATCH(MAX(p),p,0)),""))))</f>
        <v/>
      </c>
    </row>
    <row r="229">
      <c r="B229">
        <f>IF($A229="","",XLOOKUP($A229,Clients!$A:$A,Clients!$D:$D)&amp;" "&amp;XLOOKUP($A229,Clients!$A:$A,Clients!$E:$E))</f>
        <v/>
      </c>
      <c r="C229">
        <f>IF($A229="","",DATEDIF(XLOOKUP($A229,Clients!$A:$A,Clients!$F:$F),VAL_DATE,"Y"))</f>
        <v/>
      </c>
      <c r="D229">
        <f>IF(OR($A229="",E229=""),"",E229-C229)</f>
        <v/>
      </c>
      <c r="E229">
        <f>IF($A229="","",XLOOKUP($A229,RetirementPlan!$B:$B,RetirementPlan!$C:$C,""))</f>
        <v/>
      </c>
      <c r="F229" s="9">
        <f>IF(OR($A229="",D229=""),"",FV(IF(IFERROR(XLOOKUP($A229,RetirementPlan!$B:$B,RetirementPlan!$K:$K,""),"")="",GROWTH,IFERROR(XLOOKUP($A229,RetirementPlan!$B:$B,RetirementPlan!$K:$K,""),"")),D229,-N(XLOOKUP($A229,RetirementPlan!$B:$B,RetirementPlan!$I:$I,0)),-SUMIFS(Assets!$J:$J,Assets!$B:$B,$A229,Assets!$R:$R,"Yes"),0))</f>
        <v/>
      </c>
      <c r="G229" s="9">
        <f>IF(OR($A229="",I229=""),"",MAX(0,(I229-J229)/IF(IFERROR(XLOOKUP($A229,RetirementPlan!$B:$B,RetirementPlan!$M:$M,""),"")="",SWR,IFERROR(XLOOKUP($A229,RetirementPlan!$B:$B,RetirementPlan!$M:$M,""),""))))</f>
        <v/>
      </c>
      <c r="H229" s="9">
        <f>IF(OR($A229="",F229="",G229=""),"",F229-G229)</f>
        <v/>
      </c>
      <c r="I229" s="9">
        <f>IF($A229="","",XLOOKUP($A229,RetirementPlan!$B:$B,RetirementPlan!$E:$E,""))</f>
        <v/>
      </c>
      <c r="J229" s="9">
        <f>IF($A229="","",N(XLOOKUP($A229,RetirementPlan!$B:$B,RetirementPlan!$G:$G,0))+N(XLOOKUP($A229,RetirementPlan!$B:$B,RetirementPlan!$H:$H,0)))</f>
        <v/>
      </c>
      <c r="K229">
        <f>IF($A229="","",IF(NOT(ISBLANK(XLOOKUP($A229,RetirementPlan!$B:$B,RetirementPlan!$N:$N,""))),XLOOKUP($A229,RetirementPlan!$B:$B,RetirementPlan!$N:$N,""),LET(cid,$A229,c,FILTER(LocationPlan!$D:$D,LocationPlan!$C:$C=cid),p,FILTER(LocationPlan!$E:$E,LocationPlan!$C:$C=cid),IFERROR(INDEX(c,MATCH(MAX(p),p,0)),""))))</f>
        <v/>
      </c>
    </row>
    <row r="230">
      <c r="B230">
        <f>IF($A230="","",XLOOKUP($A230,Clients!$A:$A,Clients!$D:$D)&amp;" "&amp;XLOOKUP($A230,Clients!$A:$A,Clients!$E:$E))</f>
        <v/>
      </c>
      <c r="C230">
        <f>IF($A230="","",DATEDIF(XLOOKUP($A230,Clients!$A:$A,Clients!$F:$F),VAL_DATE,"Y"))</f>
        <v/>
      </c>
      <c r="D230">
        <f>IF(OR($A230="",E230=""),"",E230-C230)</f>
        <v/>
      </c>
      <c r="E230">
        <f>IF($A230="","",XLOOKUP($A230,RetirementPlan!$B:$B,RetirementPlan!$C:$C,""))</f>
        <v/>
      </c>
      <c r="F230" s="9">
        <f>IF(OR($A230="",D230=""),"",FV(IF(IFERROR(XLOOKUP($A230,RetirementPlan!$B:$B,RetirementPlan!$K:$K,""),"")="",GROWTH,IFERROR(XLOOKUP($A230,RetirementPlan!$B:$B,RetirementPlan!$K:$K,""),"")),D230,-N(XLOOKUP($A230,RetirementPlan!$B:$B,RetirementPlan!$I:$I,0)),-SUMIFS(Assets!$J:$J,Assets!$B:$B,$A230,Assets!$R:$R,"Yes"),0))</f>
        <v/>
      </c>
      <c r="G230" s="9">
        <f>IF(OR($A230="",I230=""),"",MAX(0,(I230-J230)/IF(IFERROR(XLOOKUP($A230,RetirementPlan!$B:$B,RetirementPlan!$M:$M,""),"")="",SWR,IFERROR(XLOOKUP($A230,RetirementPlan!$B:$B,RetirementPlan!$M:$M,""),""))))</f>
        <v/>
      </c>
      <c r="H230" s="9">
        <f>IF(OR($A230="",F230="",G230=""),"",F230-G230)</f>
        <v/>
      </c>
      <c r="I230" s="9">
        <f>IF($A230="","",XLOOKUP($A230,RetirementPlan!$B:$B,RetirementPlan!$E:$E,""))</f>
        <v/>
      </c>
      <c r="J230" s="9">
        <f>IF($A230="","",N(XLOOKUP($A230,RetirementPlan!$B:$B,RetirementPlan!$G:$G,0))+N(XLOOKUP($A230,RetirementPlan!$B:$B,RetirementPlan!$H:$H,0)))</f>
        <v/>
      </c>
      <c r="K230">
        <f>IF($A230="","",IF(NOT(ISBLANK(XLOOKUP($A230,RetirementPlan!$B:$B,RetirementPlan!$N:$N,""))),XLOOKUP($A230,RetirementPlan!$B:$B,RetirementPlan!$N:$N,""),LET(cid,$A230,c,FILTER(LocationPlan!$D:$D,LocationPlan!$C:$C=cid),p,FILTER(LocationPlan!$E:$E,LocationPlan!$C:$C=cid),IFERROR(INDEX(c,MATCH(MAX(p),p,0)),""))))</f>
        <v/>
      </c>
    </row>
    <row r="231">
      <c r="B231">
        <f>IF($A231="","",XLOOKUP($A231,Clients!$A:$A,Clients!$D:$D)&amp;" "&amp;XLOOKUP($A231,Clients!$A:$A,Clients!$E:$E))</f>
        <v/>
      </c>
      <c r="C231">
        <f>IF($A231="","",DATEDIF(XLOOKUP($A231,Clients!$A:$A,Clients!$F:$F),VAL_DATE,"Y"))</f>
        <v/>
      </c>
      <c r="D231">
        <f>IF(OR($A231="",E231=""),"",E231-C231)</f>
        <v/>
      </c>
      <c r="E231">
        <f>IF($A231="","",XLOOKUP($A231,RetirementPlan!$B:$B,RetirementPlan!$C:$C,""))</f>
        <v/>
      </c>
      <c r="F231" s="9">
        <f>IF(OR($A231="",D231=""),"",FV(IF(IFERROR(XLOOKUP($A231,RetirementPlan!$B:$B,RetirementPlan!$K:$K,""),"")="",GROWTH,IFERROR(XLOOKUP($A231,RetirementPlan!$B:$B,RetirementPlan!$K:$K,""),"")),D231,-N(XLOOKUP($A231,RetirementPlan!$B:$B,RetirementPlan!$I:$I,0)),-SUMIFS(Assets!$J:$J,Assets!$B:$B,$A231,Assets!$R:$R,"Yes"),0))</f>
        <v/>
      </c>
      <c r="G231" s="9">
        <f>IF(OR($A231="",I231=""),"",MAX(0,(I231-J231)/IF(IFERROR(XLOOKUP($A231,RetirementPlan!$B:$B,RetirementPlan!$M:$M,""),"")="",SWR,IFERROR(XLOOKUP($A231,RetirementPlan!$B:$B,RetirementPlan!$M:$M,""),""))))</f>
        <v/>
      </c>
      <c r="H231" s="9">
        <f>IF(OR($A231="",F231="",G231=""),"",F231-G231)</f>
        <v/>
      </c>
      <c r="I231" s="9">
        <f>IF($A231="","",XLOOKUP($A231,RetirementPlan!$B:$B,RetirementPlan!$E:$E,""))</f>
        <v/>
      </c>
      <c r="J231" s="9">
        <f>IF($A231="","",N(XLOOKUP($A231,RetirementPlan!$B:$B,RetirementPlan!$G:$G,0))+N(XLOOKUP($A231,RetirementPlan!$B:$B,RetirementPlan!$H:$H,0)))</f>
        <v/>
      </c>
      <c r="K231">
        <f>IF($A231="","",IF(NOT(ISBLANK(XLOOKUP($A231,RetirementPlan!$B:$B,RetirementPlan!$N:$N,""))),XLOOKUP($A231,RetirementPlan!$B:$B,RetirementPlan!$N:$N,""),LET(cid,$A231,c,FILTER(LocationPlan!$D:$D,LocationPlan!$C:$C=cid),p,FILTER(LocationPlan!$E:$E,LocationPlan!$C:$C=cid),IFERROR(INDEX(c,MATCH(MAX(p),p,0)),""))))</f>
        <v/>
      </c>
    </row>
    <row r="232">
      <c r="B232">
        <f>IF($A232="","",XLOOKUP($A232,Clients!$A:$A,Clients!$D:$D)&amp;" "&amp;XLOOKUP($A232,Clients!$A:$A,Clients!$E:$E))</f>
        <v/>
      </c>
      <c r="C232">
        <f>IF($A232="","",DATEDIF(XLOOKUP($A232,Clients!$A:$A,Clients!$F:$F),VAL_DATE,"Y"))</f>
        <v/>
      </c>
      <c r="D232">
        <f>IF(OR($A232="",E232=""),"",E232-C232)</f>
        <v/>
      </c>
      <c r="E232">
        <f>IF($A232="","",XLOOKUP($A232,RetirementPlan!$B:$B,RetirementPlan!$C:$C,""))</f>
        <v/>
      </c>
      <c r="F232" s="9">
        <f>IF(OR($A232="",D232=""),"",FV(IF(IFERROR(XLOOKUP($A232,RetirementPlan!$B:$B,RetirementPlan!$K:$K,""),"")="",GROWTH,IFERROR(XLOOKUP($A232,RetirementPlan!$B:$B,RetirementPlan!$K:$K,""),"")),D232,-N(XLOOKUP($A232,RetirementPlan!$B:$B,RetirementPlan!$I:$I,0)),-SUMIFS(Assets!$J:$J,Assets!$B:$B,$A232,Assets!$R:$R,"Yes"),0))</f>
        <v/>
      </c>
      <c r="G232" s="9">
        <f>IF(OR($A232="",I232=""),"",MAX(0,(I232-J232)/IF(IFERROR(XLOOKUP($A232,RetirementPlan!$B:$B,RetirementPlan!$M:$M,""),"")="",SWR,IFERROR(XLOOKUP($A232,RetirementPlan!$B:$B,RetirementPlan!$M:$M,""),""))))</f>
        <v/>
      </c>
      <c r="H232" s="9">
        <f>IF(OR($A232="",F232="",G232=""),"",F232-G232)</f>
        <v/>
      </c>
      <c r="I232" s="9">
        <f>IF($A232="","",XLOOKUP($A232,RetirementPlan!$B:$B,RetirementPlan!$E:$E,""))</f>
        <v/>
      </c>
      <c r="J232" s="9">
        <f>IF($A232="","",N(XLOOKUP($A232,RetirementPlan!$B:$B,RetirementPlan!$G:$G,0))+N(XLOOKUP($A232,RetirementPlan!$B:$B,RetirementPlan!$H:$H,0)))</f>
        <v/>
      </c>
      <c r="K232">
        <f>IF($A232="","",IF(NOT(ISBLANK(XLOOKUP($A232,RetirementPlan!$B:$B,RetirementPlan!$N:$N,""))),XLOOKUP($A232,RetirementPlan!$B:$B,RetirementPlan!$N:$N,""),LET(cid,$A232,c,FILTER(LocationPlan!$D:$D,LocationPlan!$C:$C=cid),p,FILTER(LocationPlan!$E:$E,LocationPlan!$C:$C=cid),IFERROR(INDEX(c,MATCH(MAX(p),p,0)),""))))</f>
        <v/>
      </c>
    </row>
    <row r="233">
      <c r="B233">
        <f>IF($A233="","",XLOOKUP($A233,Clients!$A:$A,Clients!$D:$D)&amp;" "&amp;XLOOKUP($A233,Clients!$A:$A,Clients!$E:$E))</f>
        <v/>
      </c>
      <c r="C233">
        <f>IF($A233="","",DATEDIF(XLOOKUP($A233,Clients!$A:$A,Clients!$F:$F),VAL_DATE,"Y"))</f>
        <v/>
      </c>
      <c r="D233">
        <f>IF(OR($A233="",E233=""),"",E233-C233)</f>
        <v/>
      </c>
      <c r="E233">
        <f>IF($A233="","",XLOOKUP($A233,RetirementPlan!$B:$B,RetirementPlan!$C:$C,""))</f>
        <v/>
      </c>
      <c r="F233" s="9">
        <f>IF(OR($A233="",D233=""),"",FV(IF(IFERROR(XLOOKUP($A233,RetirementPlan!$B:$B,RetirementPlan!$K:$K,""),"")="",GROWTH,IFERROR(XLOOKUP($A233,RetirementPlan!$B:$B,RetirementPlan!$K:$K,""),"")),D233,-N(XLOOKUP($A233,RetirementPlan!$B:$B,RetirementPlan!$I:$I,0)),-SUMIFS(Assets!$J:$J,Assets!$B:$B,$A233,Assets!$R:$R,"Yes"),0))</f>
        <v/>
      </c>
      <c r="G233" s="9">
        <f>IF(OR($A233="",I233=""),"",MAX(0,(I233-J233)/IF(IFERROR(XLOOKUP($A233,RetirementPlan!$B:$B,RetirementPlan!$M:$M,""),"")="",SWR,IFERROR(XLOOKUP($A233,RetirementPlan!$B:$B,RetirementPlan!$M:$M,""),""))))</f>
        <v/>
      </c>
      <c r="H233" s="9">
        <f>IF(OR($A233="",F233="",G233=""),"",F233-G233)</f>
        <v/>
      </c>
      <c r="I233" s="9">
        <f>IF($A233="","",XLOOKUP($A233,RetirementPlan!$B:$B,RetirementPlan!$E:$E,""))</f>
        <v/>
      </c>
      <c r="J233" s="9">
        <f>IF($A233="","",N(XLOOKUP($A233,RetirementPlan!$B:$B,RetirementPlan!$G:$G,0))+N(XLOOKUP($A233,RetirementPlan!$B:$B,RetirementPlan!$H:$H,0)))</f>
        <v/>
      </c>
      <c r="K233">
        <f>IF($A233="","",IF(NOT(ISBLANK(XLOOKUP($A233,RetirementPlan!$B:$B,RetirementPlan!$N:$N,""))),XLOOKUP($A233,RetirementPlan!$B:$B,RetirementPlan!$N:$N,""),LET(cid,$A233,c,FILTER(LocationPlan!$D:$D,LocationPlan!$C:$C=cid),p,FILTER(LocationPlan!$E:$E,LocationPlan!$C:$C=cid),IFERROR(INDEX(c,MATCH(MAX(p),p,0)),""))))</f>
        <v/>
      </c>
    </row>
    <row r="234">
      <c r="B234">
        <f>IF($A234="","",XLOOKUP($A234,Clients!$A:$A,Clients!$D:$D)&amp;" "&amp;XLOOKUP($A234,Clients!$A:$A,Clients!$E:$E))</f>
        <v/>
      </c>
      <c r="C234">
        <f>IF($A234="","",DATEDIF(XLOOKUP($A234,Clients!$A:$A,Clients!$F:$F),VAL_DATE,"Y"))</f>
        <v/>
      </c>
      <c r="D234">
        <f>IF(OR($A234="",E234=""),"",E234-C234)</f>
        <v/>
      </c>
      <c r="E234">
        <f>IF($A234="","",XLOOKUP($A234,RetirementPlan!$B:$B,RetirementPlan!$C:$C,""))</f>
        <v/>
      </c>
      <c r="F234" s="9">
        <f>IF(OR($A234="",D234=""),"",FV(IF(IFERROR(XLOOKUP($A234,RetirementPlan!$B:$B,RetirementPlan!$K:$K,""),"")="",GROWTH,IFERROR(XLOOKUP($A234,RetirementPlan!$B:$B,RetirementPlan!$K:$K,""),"")),D234,-N(XLOOKUP($A234,RetirementPlan!$B:$B,RetirementPlan!$I:$I,0)),-SUMIFS(Assets!$J:$J,Assets!$B:$B,$A234,Assets!$R:$R,"Yes"),0))</f>
        <v/>
      </c>
      <c r="G234" s="9">
        <f>IF(OR($A234="",I234=""),"",MAX(0,(I234-J234)/IF(IFERROR(XLOOKUP($A234,RetirementPlan!$B:$B,RetirementPlan!$M:$M,""),"")="",SWR,IFERROR(XLOOKUP($A234,RetirementPlan!$B:$B,RetirementPlan!$M:$M,""),""))))</f>
        <v/>
      </c>
      <c r="H234" s="9">
        <f>IF(OR($A234="",F234="",G234=""),"",F234-G234)</f>
        <v/>
      </c>
      <c r="I234" s="9">
        <f>IF($A234="","",XLOOKUP($A234,RetirementPlan!$B:$B,RetirementPlan!$E:$E,""))</f>
        <v/>
      </c>
      <c r="J234" s="9">
        <f>IF($A234="","",N(XLOOKUP($A234,RetirementPlan!$B:$B,RetirementPlan!$G:$G,0))+N(XLOOKUP($A234,RetirementPlan!$B:$B,RetirementPlan!$H:$H,0)))</f>
        <v/>
      </c>
      <c r="K234">
        <f>IF($A234="","",IF(NOT(ISBLANK(XLOOKUP($A234,RetirementPlan!$B:$B,RetirementPlan!$N:$N,""))),XLOOKUP($A234,RetirementPlan!$B:$B,RetirementPlan!$N:$N,""),LET(cid,$A234,c,FILTER(LocationPlan!$D:$D,LocationPlan!$C:$C=cid),p,FILTER(LocationPlan!$E:$E,LocationPlan!$C:$C=cid),IFERROR(INDEX(c,MATCH(MAX(p),p,0)),""))))</f>
        <v/>
      </c>
    </row>
    <row r="235">
      <c r="B235">
        <f>IF($A235="","",XLOOKUP($A235,Clients!$A:$A,Clients!$D:$D)&amp;" "&amp;XLOOKUP($A235,Clients!$A:$A,Clients!$E:$E))</f>
        <v/>
      </c>
      <c r="C235">
        <f>IF($A235="","",DATEDIF(XLOOKUP($A235,Clients!$A:$A,Clients!$F:$F),VAL_DATE,"Y"))</f>
        <v/>
      </c>
      <c r="D235">
        <f>IF(OR($A235="",E235=""),"",E235-C235)</f>
        <v/>
      </c>
      <c r="E235">
        <f>IF($A235="","",XLOOKUP($A235,RetirementPlan!$B:$B,RetirementPlan!$C:$C,""))</f>
        <v/>
      </c>
      <c r="F235" s="9">
        <f>IF(OR($A235="",D235=""),"",FV(IF(IFERROR(XLOOKUP($A235,RetirementPlan!$B:$B,RetirementPlan!$K:$K,""),"")="",GROWTH,IFERROR(XLOOKUP($A235,RetirementPlan!$B:$B,RetirementPlan!$K:$K,""),"")),D235,-N(XLOOKUP($A235,RetirementPlan!$B:$B,RetirementPlan!$I:$I,0)),-SUMIFS(Assets!$J:$J,Assets!$B:$B,$A235,Assets!$R:$R,"Yes"),0))</f>
        <v/>
      </c>
      <c r="G235" s="9">
        <f>IF(OR($A235="",I235=""),"",MAX(0,(I235-J235)/IF(IFERROR(XLOOKUP($A235,RetirementPlan!$B:$B,RetirementPlan!$M:$M,""),"")="",SWR,IFERROR(XLOOKUP($A235,RetirementPlan!$B:$B,RetirementPlan!$M:$M,""),""))))</f>
        <v/>
      </c>
      <c r="H235" s="9">
        <f>IF(OR($A235="",F235="",G235=""),"",F235-G235)</f>
        <v/>
      </c>
      <c r="I235" s="9">
        <f>IF($A235="","",XLOOKUP($A235,RetirementPlan!$B:$B,RetirementPlan!$E:$E,""))</f>
        <v/>
      </c>
      <c r="J235" s="9">
        <f>IF($A235="","",N(XLOOKUP($A235,RetirementPlan!$B:$B,RetirementPlan!$G:$G,0))+N(XLOOKUP($A235,RetirementPlan!$B:$B,RetirementPlan!$H:$H,0)))</f>
        <v/>
      </c>
      <c r="K235">
        <f>IF($A235="","",IF(NOT(ISBLANK(XLOOKUP($A235,RetirementPlan!$B:$B,RetirementPlan!$N:$N,""))),XLOOKUP($A235,RetirementPlan!$B:$B,RetirementPlan!$N:$N,""),LET(cid,$A235,c,FILTER(LocationPlan!$D:$D,LocationPlan!$C:$C=cid),p,FILTER(LocationPlan!$E:$E,LocationPlan!$C:$C=cid),IFERROR(INDEX(c,MATCH(MAX(p),p,0)),""))))</f>
        <v/>
      </c>
    </row>
    <row r="236">
      <c r="B236">
        <f>IF($A236="","",XLOOKUP($A236,Clients!$A:$A,Clients!$D:$D)&amp;" "&amp;XLOOKUP($A236,Clients!$A:$A,Clients!$E:$E))</f>
        <v/>
      </c>
      <c r="C236">
        <f>IF($A236="","",DATEDIF(XLOOKUP($A236,Clients!$A:$A,Clients!$F:$F),VAL_DATE,"Y"))</f>
        <v/>
      </c>
      <c r="D236">
        <f>IF(OR($A236="",E236=""),"",E236-C236)</f>
        <v/>
      </c>
      <c r="E236">
        <f>IF($A236="","",XLOOKUP($A236,RetirementPlan!$B:$B,RetirementPlan!$C:$C,""))</f>
        <v/>
      </c>
      <c r="F236" s="9">
        <f>IF(OR($A236="",D236=""),"",FV(IF(IFERROR(XLOOKUP($A236,RetirementPlan!$B:$B,RetirementPlan!$K:$K,""),"")="",GROWTH,IFERROR(XLOOKUP($A236,RetirementPlan!$B:$B,RetirementPlan!$K:$K,""),"")),D236,-N(XLOOKUP($A236,RetirementPlan!$B:$B,RetirementPlan!$I:$I,0)),-SUMIFS(Assets!$J:$J,Assets!$B:$B,$A236,Assets!$R:$R,"Yes"),0))</f>
        <v/>
      </c>
      <c r="G236" s="9">
        <f>IF(OR($A236="",I236=""),"",MAX(0,(I236-J236)/IF(IFERROR(XLOOKUP($A236,RetirementPlan!$B:$B,RetirementPlan!$M:$M,""),"")="",SWR,IFERROR(XLOOKUP($A236,RetirementPlan!$B:$B,RetirementPlan!$M:$M,""),""))))</f>
        <v/>
      </c>
      <c r="H236" s="9">
        <f>IF(OR($A236="",F236="",G236=""),"",F236-G236)</f>
        <v/>
      </c>
      <c r="I236" s="9">
        <f>IF($A236="","",XLOOKUP($A236,RetirementPlan!$B:$B,RetirementPlan!$E:$E,""))</f>
        <v/>
      </c>
      <c r="J236" s="9">
        <f>IF($A236="","",N(XLOOKUP($A236,RetirementPlan!$B:$B,RetirementPlan!$G:$G,0))+N(XLOOKUP($A236,RetirementPlan!$B:$B,RetirementPlan!$H:$H,0)))</f>
        <v/>
      </c>
      <c r="K236">
        <f>IF($A236="","",IF(NOT(ISBLANK(XLOOKUP($A236,RetirementPlan!$B:$B,RetirementPlan!$N:$N,""))),XLOOKUP($A236,RetirementPlan!$B:$B,RetirementPlan!$N:$N,""),LET(cid,$A236,c,FILTER(LocationPlan!$D:$D,LocationPlan!$C:$C=cid),p,FILTER(LocationPlan!$E:$E,LocationPlan!$C:$C=cid),IFERROR(INDEX(c,MATCH(MAX(p),p,0)),""))))</f>
        <v/>
      </c>
    </row>
    <row r="237">
      <c r="B237">
        <f>IF($A237="","",XLOOKUP($A237,Clients!$A:$A,Clients!$D:$D)&amp;" "&amp;XLOOKUP($A237,Clients!$A:$A,Clients!$E:$E))</f>
        <v/>
      </c>
      <c r="C237">
        <f>IF($A237="","",DATEDIF(XLOOKUP($A237,Clients!$A:$A,Clients!$F:$F),VAL_DATE,"Y"))</f>
        <v/>
      </c>
      <c r="D237">
        <f>IF(OR($A237="",E237=""),"",E237-C237)</f>
        <v/>
      </c>
      <c r="E237">
        <f>IF($A237="","",XLOOKUP($A237,RetirementPlan!$B:$B,RetirementPlan!$C:$C,""))</f>
        <v/>
      </c>
      <c r="F237" s="9">
        <f>IF(OR($A237="",D237=""),"",FV(IF(IFERROR(XLOOKUP($A237,RetirementPlan!$B:$B,RetirementPlan!$K:$K,""),"")="",GROWTH,IFERROR(XLOOKUP($A237,RetirementPlan!$B:$B,RetirementPlan!$K:$K,""),"")),D237,-N(XLOOKUP($A237,RetirementPlan!$B:$B,RetirementPlan!$I:$I,0)),-SUMIFS(Assets!$J:$J,Assets!$B:$B,$A237,Assets!$R:$R,"Yes"),0))</f>
        <v/>
      </c>
      <c r="G237" s="9">
        <f>IF(OR($A237="",I237=""),"",MAX(0,(I237-J237)/IF(IFERROR(XLOOKUP($A237,RetirementPlan!$B:$B,RetirementPlan!$M:$M,""),"")="",SWR,IFERROR(XLOOKUP($A237,RetirementPlan!$B:$B,RetirementPlan!$M:$M,""),""))))</f>
        <v/>
      </c>
      <c r="H237" s="9">
        <f>IF(OR($A237="",F237="",G237=""),"",F237-G237)</f>
        <v/>
      </c>
      <c r="I237" s="9">
        <f>IF($A237="","",XLOOKUP($A237,RetirementPlan!$B:$B,RetirementPlan!$E:$E,""))</f>
        <v/>
      </c>
      <c r="J237" s="9">
        <f>IF($A237="","",N(XLOOKUP($A237,RetirementPlan!$B:$B,RetirementPlan!$G:$G,0))+N(XLOOKUP($A237,RetirementPlan!$B:$B,RetirementPlan!$H:$H,0)))</f>
        <v/>
      </c>
      <c r="K237">
        <f>IF($A237="","",IF(NOT(ISBLANK(XLOOKUP($A237,RetirementPlan!$B:$B,RetirementPlan!$N:$N,""))),XLOOKUP($A237,RetirementPlan!$B:$B,RetirementPlan!$N:$N,""),LET(cid,$A237,c,FILTER(LocationPlan!$D:$D,LocationPlan!$C:$C=cid),p,FILTER(LocationPlan!$E:$E,LocationPlan!$C:$C=cid),IFERROR(INDEX(c,MATCH(MAX(p),p,0)),""))))</f>
        <v/>
      </c>
    </row>
    <row r="238">
      <c r="B238">
        <f>IF($A238="","",XLOOKUP($A238,Clients!$A:$A,Clients!$D:$D)&amp;" "&amp;XLOOKUP($A238,Clients!$A:$A,Clients!$E:$E))</f>
        <v/>
      </c>
      <c r="C238">
        <f>IF($A238="","",DATEDIF(XLOOKUP($A238,Clients!$A:$A,Clients!$F:$F),VAL_DATE,"Y"))</f>
        <v/>
      </c>
      <c r="D238">
        <f>IF(OR($A238="",E238=""),"",E238-C238)</f>
        <v/>
      </c>
      <c r="E238">
        <f>IF($A238="","",XLOOKUP($A238,RetirementPlan!$B:$B,RetirementPlan!$C:$C,""))</f>
        <v/>
      </c>
      <c r="F238" s="9">
        <f>IF(OR($A238="",D238=""),"",FV(IF(IFERROR(XLOOKUP($A238,RetirementPlan!$B:$B,RetirementPlan!$K:$K,""),"")="",GROWTH,IFERROR(XLOOKUP($A238,RetirementPlan!$B:$B,RetirementPlan!$K:$K,""),"")),D238,-N(XLOOKUP($A238,RetirementPlan!$B:$B,RetirementPlan!$I:$I,0)),-SUMIFS(Assets!$J:$J,Assets!$B:$B,$A238,Assets!$R:$R,"Yes"),0))</f>
        <v/>
      </c>
      <c r="G238" s="9">
        <f>IF(OR($A238="",I238=""),"",MAX(0,(I238-J238)/IF(IFERROR(XLOOKUP($A238,RetirementPlan!$B:$B,RetirementPlan!$M:$M,""),"")="",SWR,IFERROR(XLOOKUP($A238,RetirementPlan!$B:$B,RetirementPlan!$M:$M,""),""))))</f>
        <v/>
      </c>
      <c r="H238" s="9">
        <f>IF(OR($A238="",F238="",G238=""),"",F238-G238)</f>
        <v/>
      </c>
      <c r="I238" s="9">
        <f>IF($A238="","",XLOOKUP($A238,RetirementPlan!$B:$B,RetirementPlan!$E:$E,""))</f>
        <v/>
      </c>
      <c r="J238" s="9">
        <f>IF($A238="","",N(XLOOKUP($A238,RetirementPlan!$B:$B,RetirementPlan!$G:$G,0))+N(XLOOKUP($A238,RetirementPlan!$B:$B,RetirementPlan!$H:$H,0)))</f>
        <v/>
      </c>
      <c r="K238">
        <f>IF($A238="","",IF(NOT(ISBLANK(XLOOKUP($A238,RetirementPlan!$B:$B,RetirementPlan!$N:$N,""))),XLOOKUP($A238,RetirementPlan!$B:$B,RetirementPlan!$N:$N,""),LET(cid,$A238,c,FILTER(LocationPlan!$D:$D,LocationPlan!$C:$C=cid),p,FILTER(LocationPlan!$E:$E,LocationPlan!$C:$C=cid),IFERROR(INDEX(c,MATCH(MAX(p),p,0)),""))))</f>
        <v/>
      </c>
    </row>
    <row r="239">
      <c r="B239">
        <f>IF($A239="","",XLOOKUP($A239,Clients!$A:$A,Clients!$D:$D)&amp;" "&amp;XLOOKUP($A239,Clients!$A:$A,Clients!$E:$E))</f>
        <v/>
      </c>
      <c r="C239">
        <f>IF($A239="","",DATEDIF(XLOOKUP($A239,Clients!$A:$A,Clients!$F:$F),VAL_DATE,"Y"))</f>
        <v/>
      </c>
      <c r="D239">
        <f>IF(OR($A239="",E239=""),"",E239-C239)</f>
        <v/>
      </c>
      <c r="E239">
        <f>IF($A239="","",XLOOKUP($A239,RetirementPlan!$B:$B,RetirementPlan!$C:$C,""))</f>
        <v/>
      </c>
      <c r="F239" s="9">
        <f>IF(OR($A239="",D239=""),"",FV(IF(IFERROR(XLOOKUP($A239,RetirementPlan!$B:$B,RetirementPlan!$K:$K,""),"")="",GROWTH,IFERROR(XLOOKUP($A239,RetirementPlan!$B:$B,RetirementPlan!$K:$K,""),"")),D239,-N(XLOOKUP($A239,RetirementPlan!$B:$B,RetirementPlan!$I:$I,0)),-SUMIFS(Assets!$J:$J,Assets!$B:$B,$A239,Assets!$R:$R,"Yes"),0))</f>
        <v/>
      </c>
      <c r="G239" s="9">
        <f>IF(OR($A239="",I239=""),"",MAX(0,(I239-J239)/IF(IFERROR(XLOOKUP($A239,RetirementPlan!$B:$B,RetirementPlan!$M:$M,""),"")="",SWR,IFERROR(XLOOKUP($A239,RetirementPlan!$B:$B,RetirementPlan!$M:$M,""),""))))</f>
        <v/>
      </c>
      <c r="H239" s="9">
        <f>IF(OR($A239="",F239="",G239=""),"",F239-G239)</f>
        <v/>
      </c>
      <c r="I239" s="9">
        <f>IF($A239="","",XLOOKUP($A239,RetirementPlan!$B:$B,RetirementPlan!$E:$E,""))</f>
        <v/>
      </c>
      <c r="J239" s="9">
        <f>IF($A239="","",N(XLOOKUP($A239,RetirementPlan!$B:$B,RetirementPlan!$G:$G,0))+N(XLOOKUP($A239,RetirementPlan!$B:$B,RetirementPlan!$H:$H,0)))</f>
        <v/>
      </c>
      <c r="K239">
        <f>IF($A239="","",IF(NOT(ISBLANK(XLOOKUP($A239,RetirementPlan!$B:$B,RetirementPlan!$N:$N,""))),XLOOKUP($A239,RetirementPlan!$B:$B,RetirementPlan!$N:$N,""),LET(cid,$A239,c,FILTER(LocationPlan!$D:$D,LocationPlan!$C:$C=cid),p,FILTER(LocationPlan!$E:$E,LocationPlan!$C:$C=cid),IFERROR(INDEX(c,MATCH(MAX(p),p,0)),""))))</f>
        <v/>
      </c>
    </row>
    <row r="240">
      <c r="B240">
        <f>IF($A240="","",XLOOKUP($A240,Clients!$A:$A,Clients!$D:$D)&amp;" "&amp;XLOOKUP($A240,Clients!$A:$A,Clients!$E:$E))</f>
        <v/>
      </c>
      <c r="C240">
        <f>IF($A240="","",DATEDIF(XLOOKUP($A240,Clients!$A:$A,Clients!$F:$F),VAL_DATE,"Y"))</f>
        <v/>
      </c>
      <c r="D240">
        <f>IF(OR($A240="",E240=""),"",E240-C240)</f>
        <v/>
      </c>
      <c r="E240">
        <f>IF($A240="","",XLOOKUP($A240,RetirementPlan!$B:$B,RetirementPlan!$C:$C,""))</f>
        <v/>
      </c>
      <c r="F240" s="9">
        <f>IF(OR($A240="",D240=""),"",FV(IF(IFERROR(XLOOKUP($A240,RetirementPlan!$B:$B,RetirementPlan!$K:$K,""),"")="",GROWTH,IFERROR(XLOOKUP($A240,RetirementPlan!$B:$B,RetirementPlan!$K:$K,""),"")),D240,-N(XLOOKUP($A240,RetirementPlan!$B:$B,RetirementPlan!$I:$I,0)),-SUMIFS(Assets!$J:$J,Assets!$B:$B,$A240,Assets!$R:$R,"Yes"),0))</f>
        <v/>
      </c>
      <c r="G240" s="9">
        <f>IF(OR($A240="",I240=""),"",MAX(0,(I240-J240)/IF(IFERROR(XLOOKUP($A240,RetirementPlan!$B:$B,RetirementPlan!$M:$M,""),"")="",SWR,IFERROR(XLOOKUP($A240,RetirementPlan!$B:$B,RetirementPlan!$M:$M,""),""))))</f>
        <v/>
      </c>
      <c r="H240" s="9">
        <f>IF(OR($A240="",F240="",G240=""),"",F240-G240)</f>
        <v/>
      </c>
      <c r="I240" s="9">
        <f>IF($A240="","",XLOOKUP($A240,RetirementPlan!$B:$B,RetirementPlan!$E:$E,""))</f>
        <v/>
      </c>
      <c r="J240" s="9">
        <f>IF($A240="","",N(XLOOKUP($A240,RetirementPlan!$B:$B,RetirementPlan!$G:$G,0))+N(XLOOKUP($A240,RetirementPlan!$B:$B,RetirementPlan!$H:$H,0)))</f>
        <v/>
      </c>
      <c r="K240">
        <f>IF($A240="","",IF(NOT(ISBLANK(XLOOKUP($A240,RetirementPlan!$B:$B,RetirementPlan!$N:$N,""))),XLOOKUP($A240,RetirementPlan!$B:$B,RetirementPlan!$N:$N,""),LET(cid,$A240,c,FILTER(LocationPlan!$D:$D,LocationPlan!$C:$C=cid),p,FILTER(LocationPlan!$E:$E,LocationPlan!$C:$C=cid),IFERROR(INDEX(c,MATCH(MAX(p),p,0)),""))))</f>
        <v/>
      </c>
    </row>
    <row r="241">
      <c r="B241">
        <f>IF($A241="","",XLOOKUP($A241,Clients!$A:$A,Clients!$D:$D)&amp;" "&amp;XLOOKUP($A241,Clients!$A:$A,Clients!$E:$E))</f>
        <v/>
      </c>
      <c r="C241">
        <f>IF($A241="","",DATEDIF(XLOOKUP($A241,Clients!$A:$A,Clients!$F:$F),VAL_DATE,"Y"))</f>
        <v/>
      </c>
      <c r="D241">
        <f>IF(OR($A241="",E241=""),"",E241-C241)</f>
        <v/>
      </c>
      <c r="E241">
        <f>IF($A241="","",XLOOKUP($A241,RetirementPlan!$B:$B,RetirementPlan!$C:$C,""))</f>
        <v/>
      </c>
      <c r="F241" s="9">
        <f>IF(OR($A241="",D241=""),"",FV(IF(IFERROR(XLOOKUP($A241,RetirementPlan!$B:$B,RetirementPlan!$K:$K,""),"")="",GROWTH,IFERROR(XLOOKUP($A241,RetirementPlan!$B:$B,RetirementPlan!$K:$K,""),"")),D241,-N(XLOOKUP($A241,RetirementPlan!$B:$B,RetirementPlan!$I:$I,0)),-SUMIFS(Assets!$J:$J,Assets!$B:$B,$A241,Assets!$R:$R,"Yes"),0))</f>
        <v/>
      </c>
      <c r="G241" s="9">
        <f>IF(OR($A241="",I241=""),"",MAX(0,(I241-J241)/IF(IFERROR(XLOOKUP($A241,RetirementPlan!$B:$B,RetirementPlan!$M:$M,""),"")="",SWR,IFERROR(XLOOKUP($A241,RetirementPlan!$B:$B,RetirementPlan!$M:$M,""),""))))</f>
        <v/>
      </c>
      <c r="H241" s="9">
        <f>IF(OR($A241="",F241="",G241=""),"",F241-G241)</f>
        <v/>
      </c>
      <c r="I241" s="9">
        <f>IF($A241="","",XLOOKUP($A241,RetirementPlan!$B:$B,RetirementPlan!$E:$E,""))</f>
        <v/>
      </c>
      <c r="J241" s="9">
        <f>IF($A241="","",N(XLOOKUP($A241,RetirementPlan!$B:$B,RetirementPlan!$G:$G,0))+N(XLOOKUP($A241,RetirementPlan!$B:$B,RetirementPlan!$H:$H,0)))</f>
        <v/>
      </c>
      <c r="K241">
        <f>IF($A241="","",IF(NOT(ISBLANK(XLOOKUP($A241,RetirementPlan!$B:$B,RetirementPlan!$N:$N,""))),XLOOKUP($A241,RetirementPlan!$B:$B,RetirementPlan!$N:$N,""),LET(cid,$A241,c,FILTER(LocationPlan!$D:$D,LocationPlan!$C:$C=cid),p,FILTER(LocationPlan!$E:$E,LocationPlan!$C:$C=cid),IFERROR(INDEX(c,MATCH(MAX(p),p,0)),""))))</f>
        <v/>
      </c>
    </row>
    <row r="242">
      <c r="B242">
        <f>IF($A242="","",XLOOKUP($A242,Clients!$A:$A,Clients!$D:$D)&amp;" "&amp;XLOOKUP($A242,Clients!$A:$A,Clients!$E:$E))</f>
        <v/>
      </c>
      <c r="C242">
        <f>IF($A242="","",DATEDIF(XLOOKUP($A242,Clients!$A:$A,Clients!$F:$F),VAL_DATE,"Y"))</f>
        <v/>
      </c>
      <c r="D242">
        <f>IF(OR($A242="",E242=""),"",E242-C242)</f>
        <v/>
      </c>
      <c r="E242">
        <f>IF($A242="","",XLOOKUP($A242,RetirementPlan!$B:$B,RetirementPlan!$C:$C,""))</f>
        <v/>
      </c>
      <c r="F242" s="9">
        <f>IF(OR($A242="",D242=""),"",FV(IF(IFERROR(XLOOKUP($A242,RetirementPlan!$B:$B,RetirementPlan!$K:$K,""),"")="",GROWTH,IFERROR(XLOOKUP($A242,RetirementPlan!$B:$B,RetirementPlan!$K:$K,""),"")),D242,-N(XLOOKUP($A242,RetirementPlan!$B:$B,RetirementPlan!$I:$I,0)),-SUMIFS(Assets!$J:$J,Assets!$B:$B,$A242,Assets!$R:$R,"Yes"),0))</f>
        <v/>
      </c>
      <c r="G242" s="9">
        <f>IF(OR($A242="",I242=""),"",MAX(0,(I242-J242)/IF(IFERROR(XLOOKUP($A242,RetirementPlan!$B:$B,RetirementPlan!$M:$M,""),"")="",SWR,IFERROR(XLOOKUP($A242,RetirementPlan!$B:$B,RetirementPlan!$M:$M,""),""))))</f>
        <v/>
      </c>
      <c r="H242" s="9">
        <f>IF(OR($A242="",F242="",G242=""),"",F242-G242)</f>
        <v/>
      </c>
      <c r="I242" s="9">
        <f>IF($A242="","",XLOOKUP($A242,RetirementPlan!$B:$B,RetirementPlan!$E:$E,""))</f>
        <v/>
      </c>
      <c r="J242" s="9">
        <f>IF($A242="","",N(XLOOKUP($A242,RetirementPlan!$B:$B,RetirementPlan!$G:$G,0))+N(XLOOKUP($A242,RetirementPlan!$B:$B,RetirementPlan!$H:$H,0)))</f>
        <v/>
      </c>
      <c r="K242">
        <f>IF($A242="","",IF(NOT(ISBLANK(XLOOKUP($A242,RetirementPlan!$B:$B,RetirementPlan!$N:$N,""))),XLOOKUP($A242,RetirementPlan!$B:$B,RetirementPlan!$N:$N,""),LET(cid,$A242,c,FILTER(LocationPlan!$D:$D,LocationPlan!$C:$C=cid),p,FILTER(LocationPlan!$E:$E,LocationPlan!$C:$C=cid),IFERROR(INDEX(c,MATCH(MAX(p),p,0)),""))))</f>
        <v/>
      </c>
    </row>
    <row r="243">
      <c r="B243">
        <f>IF($A243="","",XLOOKUP($A243,Clients!$A:$A,Clients!$D:$D)&amp;" "&amp;XLOOKUP($A243,Clients!$A:$A,Clients!$E:$E))</f>
        <v/>
      </c>
      <c r="C243">
        <f>IF($A243="","",DATEDIF(XLOOKUP($A243,Clients!$A:$A,Clients!$F:$F),VAL_DATE,"Y"))</f>
        <v/>
      </c>
      <c r="D243">
        <f>IF(OR($A243="",E243=""),"",E243-C243)</f>
        <v/>
      </c>
      <c r="E243">
        <f>IF($A243="","",XLOOKUP($A243,RetirementPlan!$B:$B,RetirementPlan!$C:$C,""))</f>
        <v/>
      </c>
      <c r="F243" s="9">
        <f>IF(OR($A243="",D243=""),"",FV(IF(IFERROR(XLOOKUP($A243,RetirementPlan!$B:$B,RetirementPlan!$K:$K,""),"")="",GROWTH,IFERROR(XLOOKUP($A243,RetirementPlan!$B:$B,RetirementPlan!$K:$K,""),"")),D243,-N(XLOOKUP($A243,RetirementPlan!$B:$B,RetirementPlan!$I:$I,0)),-SUMIFS(Assets!$J:$J,Assets!$B:$B,$A243,Assets!$R:$R,"Yes"),0))</f>
        <v/>
      </c>
      <c r="G243" s="9">
        <f>IF(OR($A243="",I243=""),"",MAX(0,(I243-J243)/IF(IFERROR(XLOOKUP($A243,RetirementPlan!$B:$B,RetirementPlan!$M:$M,""),"")="",SWR,IFERROR(XLOOKUP($A243,RetirementPlan!$B:$B,RetirementPlan!$M:$M,""),""))))</f>
        <v/>
      </c>
      <c r="H243" s="9">
        <f>IF(OR($A243="",F243="",G243=""),"",F243-G243)</f>
        <v/>
      </c>
      <c r="I243" s="9">
        <f>IF($A243="","",XLOOKUP($A243,RetirementPlan!$B:$B,RetirementPlan!$E:$E,""))</f>
        <v/>
      </c>
      <c r="J243" s="9">
        <f>IF($A243="","",N(XLOOKUP($A243,RetirementPlan!$B:$B,RetirementPlan!$G:$G,0))+N(XLOOKUP($A243,RetirementPlan!$B:$B,RetirementPlan!$H:$H,0)))</f>
        <v/>
      </c>
      <c r="K243">
        <f>IF($A243="","",IF(NOT(ISBLANK(XLOOKUP($A243,RetirementPlan!$B:$B,RetirementPlan!$N:$N,""))),XLOOKUP($A243,RetirementPlan!$B:$B,RetirementPlan!$N:$N,""),LET(cid,$A243,c,FILTER(LocationPlan!$D:$D,LocationPlan!$C:$C=cid),p,FILTER(LocationPlan!$E:$E,LocationPlan!$C:$C=cid),IFERROR(INDEX(c,MATCH(MAX(p),p,0)),""))))</f>
        <v/>
      </c>
    </row>
    <row r="244">
      <c r="B244">
        <f>IF($A244="","",XLOOKUP($A244,Clients!$A:$A,Clients!$D:$D)&amp;" "&amp;XLOOKUP($A244,Clients!$A:$A,Clients!$E:$E))</f>
        <v/>
      </c>
      <c r="C244">
        <f>IF($A244="","",DATEDIF(XLOOKUP($A244,Clients!$A:$A,Clients!$F:$F),VAL_DATE,"Y"))</f>
        <v/>
      </c>
      <c r="D244">
        <f>IF(OR($A244="",E244=""),"",E244-C244)</f>
        <v/>
      </c>
      <c r="E244">
        <f>IF($A244="","",XLOOKUP($A244,RetirementPlan!$B:$B,RetirementPlan!$C:$C,""))</f>
        <v/>
      </c>
      <c r="F244" s="9">
        <f>IF(OR($A244="",D244=""),"",FV(IF(IFERROR(XLOOKUP($A244,RetirementPlan!$B:$B,RetirementPlan!$K:$K,""),"")="",GROWTH,IFERROR(XLOOKUP($A244,RetirementPlan!$B:$B,RetirementPlan!$K:$K,""),"")),D244,-N(XLOOKUP($A244,RetirementPlan!$B:$B,RetirementPlan!$I:$I,0)),-SUMIFS(Assets!$J:$J,Assets!$B:$B,$A244,Assets!$R:$R,"Yes"),0))</f>
        <v/>
      </c>
      <c r="G244" s="9">
        <f>IF(OR($A244="",I244=""),"",MAX(0,(I244-J244)/IF(IFERROR(XLOOKUP($A244,RetirementPlan!$B:$B,RetirementPlan!$M:$M,""),"")="",SWR,IFERROR(XLOOKUP($A244,RetirementPlan!$B:$B,RetirementPlan!$M:$M,""),""))))</f>
        <v/>
      </c>
      <c r="H244" s="9">
        <f>IF(OR($A244="",F244="",G244=""),"",F244-G244)</f>
        <v/>
      </c>
      <c r="I244" s="9">
        <f>IF($A244="","",XLOOKUP($A244,RetirementPlan!$B:$B,RetirementPlan!$E:$E,""))</f>
        <v/>
      </c>
      <c r="J244" s="9">
        <f>IF($A244="","",N(XLOOKUP($A244,RetirementPlan!$B:$B,RetirementPlan!$G:$G,0))+N(XLOOKUP($A244,RetirementPlan!$B:$B,RetirementPlan!$H:$H,0)))</f>
        <v/>
      </c>
      <c r="K244">
        <f>IF($A244="","",IF(NOT(ISBLANK(XLOOKUP($A244,RetirementPlan!$B:$B,RetirementPlan!$N:$N,""))),XLOOKUP($A244,RetirementPlan!$B:$B,RetirementPlan!$N:$N,""),LET(cid,$A244,c,FILTER(LocationPlan!$D:$D,LocationPlan!$C:$C=cid),p,FILTER(LocationPlan!$E:$E,LocationPlan!$C:$C=cid),IFERROR(INDEX(c,MATCH(MAX(p),p,0)),""))))</f>
        <v/>
      </c>
    </row>
    <row r="245">
      <c r="B245">
        <f>IF($A245="","",XLOOKUP($A245,Clients!$A:$A,Clients!$D:$D)&amp;" "&amp;XLOOKUP($A245,Clients!$A:$A,Clients!$E:$E))</f>
        <v/>
      </c>
      <c r="C245">
        <f>IF($A245="","",DATEDIF(XLOOKUP($A245,Clients!$A:$A,Clients!$F:$F),VAL_DATE,"Y"))</f>
        <v/>
      </c>
      <c r="D245">
        <f>IF(OR($A245="",E245=""),"",E245-C245)</f>
        <v/>
      </c>
      <c r="E245">
        <f>IF($A245="","",XLOOKUP($A245,RetirementPlan!$B:$B,RetirementPlan!$C:$C,""))</f>
        <v/>
      </c>
      <c r="F245" s="9">
        <f>IF(OR($A245="",D245=""),"",FV(IF(IFERROR(XLOOKUP($A245,RetirementPlan!$B:$B,RetirementPlan!$K:$K,""),"")="",GROWTH,IFERROR(XLOOKUP($A245,RetirementPlan!$B:$B,RetirementPlan!$K:$K,""),"")),D245,-N(XLOOKUP($A245,RetirementPlan!$B:$B,RetirementPlan!$I:$I,0)),-SUMIFS(Assets!$J:$J,Assets!$B:$B,$A245,Assets!$R:$R,"Yes"),0))</f>
        <v/>
      </c>
      <c r="G245" s="9">
        <f>IF(OR($A245="",I245=""),"",MAX(0,(I245-J245)/IF(IFERROR(XLOOKUP($A245,RetirementPlan!$B:$B,RetirementPlan!$M:$M,""),"")="",SWR,IFERROR(XLOOKUP($A245,RetirementPlan!$B:$B,RetirementPlan!$M:$M,""),""))))</f>
        <v/>
      </c>
      <c r="H245" s="9">
        <f>IF(OR($A245="",F245="",G245=""),"",F245-G245)</f>
        <v/>
      </c>
      <c r="I245" s="9">
        <f>IF($A245="","",XLOOKUP($A245,RetirementPlan!$B:$B,RetirementPlan!$E:$E,""))</f>
        <v/>
      </c>
      <c r="J245" s="9">
        <f>IF($A245="","",N(XLOOKUP($A245,RetirementPlan!$B:$B,RetirementPlan!$G:$G,0))+N(XLOOKUP($A245,RetirementPlan!$B:$B,RetirementPlan!$H:$H,0)))</f>
        <v/>
      </c>
      <c r="K245">
        <f>IF($A245="","",IF(NOT(ISBLANK(XLOOKUP($A245,RetirementPlan!$B:$B,RetirementPlan!$N:$N,""))),XLOOKUP($A245,RetirementPlan!$B:$B,RetirementPlan!$N:$N,""),LET(cid,$A245,c,FILTER(LocationPlan!$D:$D,LocationPlan!$C:$C=cid),p,FILTER(LocationPlan!$E:$E,LocationPlan!$C:$C=cid),IFERROR(INDEX(c,MATCH(MAX(p),p,0)),""))))</f>
        <v/>
      </c>
    </row>
    <row r="246">
      <c r="B246">
        <f>IF($A246="","",XLOOKUP($A246,Clients!$A:$A,Clients!$D:$D)&amp;" "&amp;XLOOKUP($A246,Clients!$A:$A,Clients!$E:$E))</f>
        <v/>
      </c>
      <c r="C246">
        <f>IF($A246="","",DATEDIF(XLOOKUP($A246,Clients!$A:$A,Clients!$F:$F),VAL_DATE,"Y"))</f>
        <v/>
      </c>
      <c r="D246">
        <f>IF(OR($A246="",E246=""),"",E246-C246)</f>
        <v/>
      </c>
      <c r="E246">
        <f>IF($A246="","",XLOOKUP($A246,RetirementPlan!$B:$B,RetirementPlan!$C:$C,""))</f>
        <v/>
      </c>
      <c r="F246" s="9">
        <f>IF(OR($A246="",D246=""),"",FV(IF(IFERROR(XLOOKUP($A246,RetirementPlan!$B:$B,RetirementPlan!$K:$K,""),"")="",GROWTH,IFERROR(XLOOKUP($A246,RetirementPlan!$B:$B,RetirementPlan!$K:$K,""),"")),D246,-N(XLOOKUP($A246,RetirementPlan!$B:$B,RetirementPlan!$I:$I,0)),-SUMIFS(Assets!$J:$J,Assets!$B:$B,$A246,Assets!$R:$R,"Yes"),0))</f>
        <v/>
      </c>
      <c r="G246" s="9">
        <f>IF(OR($A246="",I246=""),"",MAX(0,(I246-J246)/IF(IFERROR(XLOOKUP($A246,RetirementPlan!$B:$B,RetirementPlan!$M:$M,""),"")="",SWR,IFERROR(XLOOKUP($A246,RetirementPlan!$B:$B,RetirementPlan!$M:$M,""),""))))</f>
        <v/>
      </c>
      <c r="H246" s="9">
        <f>IF(OR($A246="",F246="",G246=""),"",F246-G246)</f>
        <v/>
      </c>
      <c r="I246" s="9">
        <f>IF($A246="","",XLOOKUP($A246,RetirementPlan!$B:$B,RetirementPlan!$E:$E,""))</f>
        <v/>
      </c>
      <c r="J246" s="9">
        <f>IF($A246="","",N(XLOOKUP($A246,RetirementPlan!$B:$B,RetirementPlan!$G:$G,0))+N(XLOOKUP($A246,RetirementPlan!$B:$B,RetirementPlan!$H:$H,0)))</f>
        <v/>
      </c>
      <c r="K246">
        <f>IF($A246="","",IF(NOT(ISBLANK(XLOOKUP($A246,RetirementPlan!$B:$B,RetirementPlan!$N:$N,""))),XLOOKUP($A246,RetirementPlan!$B:$B,RetirementPlan!$N:$N,""),LET(cid,$A246,c,FILTER(LocationPlan!$D:$D,LocationPlan!$C:$C=cid),p,FILTER(LocationPlan!$E:$E,LocationPlan!$C:$C=cid),IFERROR(INDEX(c,MATCH(MAX(p),p,0)),""))))</f>
        <v/>
      </c>
    </row>
    <row r="247">
      <c r="B247">
        <f>IF($A247="","",XLOOKUP($A247,Clients!$A:$A,Clients!$D:$D)&amp;" "&amp;XLOOKUP($A247,Clients!$A:$A,Clients!$E:$E))</f>
        <v/>
      </c>
      <c r="C247">
        <f>IF($A247="","",DATEDIF(XLOOKUP($A247,Clients!$A:$A,Clients!$F:$F),VAL_DATE,"Y"))</f>
        <v/>
      </c>
      <c r="D247">
        <f>IF(OR($A247="",E247=""),"",E247-C247)</f>
        <v/>
      </c>
      <c r="E247">
        <f>IF($A247="","",XLOOKUP($A247,RetirementPlan!$B:$B,RetirementPlan!$C:$C,""))</f>
        <v/>
      </c>
      <c r="F247" s="9">
        <f>IF(OR($A247="",D247=""),"",FV(IF(IFERROR(XLOOKUP($A247,RetirementPlan!$B:$B,RetirementPlan!$K:$K,""),"")="",GROWTH,IFERROR(XLOOKUP($A247,RetirementPlan!$B:$B,RetirementPlan!$K:$K,""),"")),D247,-N(XLOOKUP($A247,RetirementPlan!$B:$B,RetirementPlan!$I:$I,0)),-SUMIFS(Assets!$J:$J,Assets!$B:$B,$A247,Assets!$R:$R,"Yes"),0))</f>
        <v/>
      </c>
      <c r="G247" s="9">
        <f>IF(OR($A247="",I247=""),"",MAX(0,(I247-J247)/IF(IFERROR(XLOOKUP($A247,RetirementPlan!$B:$B,RetirementPlan!$M:$M,""),"")="",SWR,IFERROR(XLOOKUP($A247,RetirementPlan!$B:$B,RetirementPlan!$M:$M,""),""))))</f>
        <v/>
      </c>
      <c r="H247" s="9">
        <f>IF(OR($A247="",F247="",G247=""),"",F247-G247)</f>
        <v/>
      </c>
      <c r="I247" s="9">
        <f>IF($A247="","",XLOOKUP($A247,RetirementPlan!$B:$B,RetirementPlan!$E:$E,""))</f>
        <v/>
      </c>
      <c r="J247" s="9">
        <f>IF($A247="","",N(XLOOKUP($A247,RetirementPlan!$B:$B,RetirementPlan!$G:$G,0))+N(XLOOKUP($A247,RetirementPlan!$B:$B,RetirementPlan!$H:$H,0)))</f>
        <v/>
      </c>
      <c r="K247">
        <f>IF($A247="","",IF(NOT(ISBLANK(XLOOKUP($A247,RetirementPlan!$B:$B,RetirementPlan!$N:$N,""))),XLOOKUP($A247,RetirementPlan!$B:$B,RetirementPlan!$N:$N,""),LET(cid,$A247,c,FILTER(LocationPlan!$D:$D,LocationPlan!$C:$C=cid),p,FILTER(LocationPlan!$E:$E,LocationPlan!$C:$C=cid),IFERROR(INDEX(c,MATCH(MAX(p),p,0)),""))))</f>
        <v/>
      </c>
    </row>
    <row r="248">
      <c r="B248">
        <f>IF($A248="","",XLOOKUP($A248,Clients!$A:$A,Clients!$D:$D)&amp;" "&amp;XLOOKUP($A248,Clients!$A:$A,Clients!$E:$E))</f>
        <v/>
      </c>
      <c r="C248">
        <f>IF($A248="","",DATEDIF(XLOOKUP($A248,Clients!$A:$A,Clients!$F:$F),VAL_DATE,"Y"))</f>
        <v/>
      </c>
      <c r="D248">
        <f>IF(OR($A248="",E248=""),"",E248-C248)</f>
        <v/>
      </c>
      <c r="E248">
        <f>IF($A248="","",XLOOKUP($A248,RetirementPlan!$B:$B,RetirementPlan!$C:$C,""))</f>
        <v/>
      </c>
      <c r="F248" s="9">
        <f>IF(OR($A248="",D248=""),"",FV(IF(IFERROR(XLOOKUP($A248,RetirementPlan!$B:$B,RetirementPlan!$K:$K,""),"")="",GROWTH,IFERROR(XLOOKUP($A248,RetirementPlan!$B:$B,RetirementPlan!$K:$K,""),"")),D248,-N(XLOOKUP($A248,RetirementPlan!$B:$B,RetirementPlan!$I:$I,0)),-SUMIFS(Assets!$J:$J,Assets!$B:$B,$A248,Assets!$R:$R,"Yes"),0))</f>
        <v/>
      </c>
      <c r="G248" s="9">
        <f>IF(OR($A248="",I248=""),"",MAX(0,(I248-J248)/IF(IFERROR(XLOOKUP($A248,RetirementPlan!$B:$B,RetirementPlan!$M:$M,""),"")="",SWR,IFERROR(XLOOKUP($A248,RetirementPlan!$B:$B,RetirementPlan!$M:$M,""),""))))</f>
        <v/>
      </c>
      <c r="H248" s="9">
        <f>IF(OR($A248="",F248="",G248=""),"",F248-G248)</f>
        <v/>
      </c>
      <c r="I248" s="9">
        <f>IF($A248="","",XLOOKUP($A248,RetirementPlan!$B:$B,RetirementPlan!$E:$E,""))</f>
        <v/>
      </c>
      <c r="J248" s="9">
        <f>IF($A248="","",N(XLOOKUP($A248,RetirementPlan!$B:$B,RetirementPlan!$G:$G,0))+N(XLOOKUP($A248,RetirementPlan!$B:$B,RetirementPlan!$H:$H,0)))</f>
        <v/>
      </c>
      <c r="K248">
        <f>IF($A248="","",IF(NOT(ISBLANK(XLOOKUP($A248,RetirementPlan!$B:$B,RetirementPlan!$N:$N,""))),XLOOKUP($A248,RetirementPlan!$B:$B,RetirementPlan!$N:$N,""),LET(cid,$A248,c,FILTER(LocationPlan!$D:$D,LocationPlan!$C:$C=cid),p,FILTER(LocationPlan!$E:$E,LocationPlan!$C:$C=cid),IFERROR(INDEX(c,MATCH(MAX(p),p,0)),""))))</f>
        <v/>
      </c>
    </row>
    <row r="249">
      <c r="B249">
        <f>IF($A249="","",XLOOKUP($A249,Clients!$A:$A,Clients!$D:$D)&amp;" "&amp;XLOOKUP($A249,Clients!$A:$A,Clients!$E:$E))</f>
        <v/>
      </c>
      <c r="C249">
        <f>IF($A249="","",DATEDIF(XLOOKUP($A249,Clients!$A:$A,Clients!$F:$F),VAL_DATE,"Y"))</f>
        <v/>
      </c>
      <c r="D249">
        <f>IF(OR($A249="",E249=""),"",E249-C249)</f>
        <v/>
      </c>
      <c r="E249">
        <f>IF($A249="","",XLOOKUP($A249,RetirementPlan!$B:$B,RetirementPlan!$C:$C,""))</f>
        <v/>
      </c>
      <c r="F249" s="9">
        <f>IF(OR($A249="",D249=""),"",FV(IF(IFERROR(XLOOKUP($A249,RetirementPlan!$B:$B,RetirementPlan!$K:$K,""),"")="",GROWTH,IFERROR(XLOOKUP($A249,RetirementPlan!$B:$B,RetirementPlan!$K:$K,""),"")),D249,-N(XLOOKUP($A249,RetirementPlan!$B:$B,RetirementPlan!$I:$I,0)),-SUMIFS(Assets!$J:$J,Assets!$B:$B,$A249,Assets!$R:$R,"Yes"),0))</f>
        <v/>
      </c>
      <c r="G249" s="9">
        <f>IF(OR($A249="",I249=""),"",MAX(0,(I249-J249)/IF(IFERROR(XLOOKUP($A249,RetirementPlan!$B:$B,RetirementPlan!$M:$M,""),"")="",SWR,IFERROR(XLOOKUP($A249,RetirementPlan!$B:$B,RetirementPlan!$M:$M,""),""))))</f>
        <v/>
      </c>
      <c r="H249" s="9">
        <f>IF(OR($A249="",F249="",G249=""),"",F249-G249)</f>
        <v/>
      </c>
      <c r="I249" s="9">
        <f>IF($A249="","",XLOOKUP($A249,RetirementPlan!$B:$B,RetirementPlan!$E:$E,""))</f>
        <v/>
      </c>
      <c r="J249" s="9">
        <f>IF($A249="","",N(XLOOKUP($A249,RetirementPlan!$B:$B,RetirementPlan!$G:$G,0))+N(XLOOKUP($A249,RetirementPlan!$B:$B,RetirementPlan!$H:$H,0)))</f>
        <v/>
      </c>
      <c r="K249">
        <f>IF($A249="","",IF(NOT(ISBLANK(XLOOKUP($A249,RetirementPlan!$B:$B,RetirementPlan!$N:$N,""))),XLOOKUP($A249,RetirementPlan!$B:$B,RetirementPlan!$N:$N,""),LET(cid,$A249,c,FILTER(LocationPlan!$D:$D,LocationPlan!$C:$C=cid),p,FILTER(LocationPlan!$E:$E,LocationPlan!$C:$C=cid),IFERROR(INDEX(c,MATCH(MAX(p),p,0)),""))))</f>
        <v/>
      </c>
    </row>
    <row r="250">
      <c r="B250">
        <f>IF($A250="","",XLOOKUP($A250,Clients!$A:$A,Clients!$D:$D)&amp;" "&amp;XLOOKUP($A250,Clients!$A:$A,Clients!$E:$E))</f>
        <v/>
      </c>
      <c r="C250">
        <f>IF($A250="","",DATEDIF(XLOOKUP($A250,Clients!$A:$A,Clients!$F:$F),VAL_DATE,"Y"))</f>
        <v/>
      </c>
      <c r="D250">
        <f>IF(OR($A250="",E250=""),"",E250-C250)</f>
        <v/>
      </c>
      <c r="E250">
        <f>IF($A250="","",XLOOKUP($A250,RetirementPlan!$B:$B,RetirementPlan!$C:$C,""))</f>
        <v/>
      </c>
      <c r="F250" s="9">
        <f>IF(OR($A250="",D250=""),"",FV(IF(IFERROR(XLOOKUP($A250,RetirementPlan!$B:$B,RetirementPlan!$K:$K,""),"")="",GROWTH,IFERROR(XLOOKUP($A250,RetirementPlan!$B:$B,RetirementPlan!$K:$K,""),"")),D250,-N(XLOOKUP($A250,RetirementPlan!$B:$B,RetirementPlan!$I:$I,0)),-SUMIFS(Assets!$J:$J,Assets!$B:$B,$A250,Assets!$R:$R,"Yes"),0))</f>
        <v/>
      </c>
      <c r="G250" s="9">
        <f>IF(OR($A250="",I250=""),"",MAX(0,(I250-J250)/IF(IFERROR(XLOOKUP($A250,RetirementPlan!$B:$B,RetirementPlan!$M:$M,""),"")="",SWR,IFERROR(XLOOKUP($A250,RetirementPlan!$B:$B,RetirementPlan!$M:$M,""),""))))</f>
        <v/>
      </c>
      <c r="H250" s="9">
        <f>IF(OR($A250="",F250="",G250=""),"",F250-G250)</f>
        <v/>
      </c>
      <c r="I250" s="9">
        <f>IF($A250="","",XLOOKUP($A250,RetirementPlan!$B:$B,RetirementPlan!$E:$E,""))</f>
        <v/>
      </c>
      <c r="J250" s="9">
        <f>IF($A250="","",N(XLOOKUP($A250,RetirementPlan!$B:$B,RetirementPlan!$G:$G,0))+N(XLOOKUP($A250,RetirementPlan!$B:$B,RetirementPlan!$H:$H,0)))</f>
        <v/>
      </c>
      <c r="K250">
        <f>IF($A250="","",IF(NOT(ISBLANK(XLOOKUP($A250,RetirementPlan!$B:$B,RetirementPlan!$N:$N,""))),XLOOKUP($A250,RetirementPlan!$B:$B,RetirementPlan!$N:$N,""),LET(cid,$A250,c,FILTER(LocationPlan!$D:$D,LocationPlan!$C:$C=cid),p,FILTER(LocationPlan!$E:$E,LocationPlan!$C:$C=cid),IFERROR(INDEX(c,MATCH(MAX(p),p,0)),""))))</f>
        <v/>
      </c>
    </row>
    <row r="251">
      <c r="B251">
        <f>IF($A251="","",XLOOKUP($A251,Clients!$A:$A,Clients!$D:$D)&amp;" "&amp;XLOOKUP($A251,Clients!$A:$A,Clients!$E:$E))</f>
        <v/>
      </c>
      <c r="C251">
        <f>IF($A251="","",DATEDIF(XLOOKUP($A251,Clients!$A:$A,Clients!$F:$F),VAL_DATE,"Y"))</f>
        <v/>
      </c>
      <c r="D251">
        <f>IF(OR($A251="",E251=""),"",E251-C251)</f>
        <v/>
      </c>
      <c r="E251">
        <f>IF($A251="","",XLOOKUP($A251,RetirementPlan!$B:$B,RetirementPlan!$C:$C,""))</f>
        <v/>
      </c>
      <c r="F251" s="9">
        <f>IF(OR($A251="",D251=""),"",FV(IF(IFERROR(XLOOKUP($A251,RetirementPlan!$B:$B,RetirementPlan!$K:$K,""),"")="",GROWTH,IFERROR(XLOOKUP($A251,RetirementPlan!$B:$B,RetirementPlan!$K:$K,""),"")),D251,-N(XLOOKUP($A251,RetirementPlan!$B:$B,RetirementPlan!$I:$I,0)),-SUMIFS(Assets!$J:$J,Assets!$B:$B,$A251,Assets!$R:$R,"Yes"),0))</f>
        <v/>
      </c>
      <c r="G251" s="9">
        <f>IF(OR($A251="",I251=""),"",MAX(0,(I251-J251)/IF(IFERROR(XLOOKUP($A251,RetirementPlan!$B:$B,RetirementPlan!$M:$M,""),"")="",SWR,IFERROR(XLOOKUP($A251,RetirementPlan!$B:$B,RetirementPlan!$M:$M,""),""))))</f>
        <v/>
      </c>
      <c r="H251" s="9">
        <f>IF(OR($A251="",F251="",G251=""),"",F251-G251)</f>
        <v/>
      </c>
      <c r="I251" s="9">
        <f>IF($A251="","",XLOOKUP($A251,RetirementPlan!$B:$B,RetirementPlan!$E:$E,""))</f>
        <v/>
      </c>
      <c r="J251" s="9">
        <f>IF($A251="","",N(XLOOKUP($A251,RetirementPlan!$B:$B,RetirementPlan!$G:$G,0))+N(XLOOKUP($A251,RetirementPlan!$B:$B,RetirementPlan!$H:$H,0)))</f>
        <v/>
      </c>
      <c r="K251">
        <f>IF($A251="","",IF(NOT(ISBLANK(XLOOKUP($A251,RetirementPlan!$B:$B,RetirementPlan!$N:$N,""))),XLOOKUP($A251,RetirementPlan!$B:$B,RetirementPlan!$N:$N,""),LET(cid,$A251,c,FILTER(LocationPlan!$D:$D,LocationPlan!$C:$C=cid),p,FILTER(LocationPlan!$E:$E,LocationPlan!$C:$C=cid),IFERROR(INDEX(c,MATCH(MAX(p),p,0)),""))))</f>
        <v/>
      </c>
    </row>
    <row r="252">
      <c r="B252">
        <f>IF($A252="","",XLOOKUP($A252,Clients!$A:$A,Clients!$D:$D)&amp;" "&amp;XLOOKUP($A252,Clients!$A:$A,Clients!$E:$E))</f>
        <v/>
      </c>
      <c r="C252">
        <f>IF($A252="","",DATEDIF(XLOOKUP($A252,Clients!$A:$A,Clients!$F:$F),VAL_DATE,"Y"))</f>
        <v/>
      </c>
      <c r="D252">
        <f>IF(OR($A252="",E252=""),"",E252-C252)</f>
        <v/>
      </c>
      <c r="E252">
        <f>IF($A252="","",XLOOKUP($A252,RetirementPlan!$B:$B,RetirementPlan!$C:$C,""))</f>
        <v/>
      </c>
      <c r="F252" s="9">
        <f>IF(OR($A252="",D252=""),"",FV(IF(IFERROR(XLOOKUP($A252,RetirementPlan!$B:$B,RetirementPlan!$K:$K,""),"")="",GROWTH,IFERROR(XLOOKUP($A252,RetirementPlan!$B:$B,RetirementPlan!$K:$K,""),"")),D252,-N(XLOOKUP($A252,RetirementPlan!$B:$B,RetirementPlan!$I:$I,0)),-SUMIFS(Assets!$J:$J,Assets!$B:$B,$A252,Assets!$R:$R,"Yes"),0))</f>
        <v/>
      </c>
      <c r="G252" s="9">
        <f>IF(OR($A252="",I252=""),"",MAX(0,(I252-J252)/IF(IFERROR(XLOOKUP($A252,RetirementPlan!$B:$B,RetirementPlan!$M:$M,""),"")="",SWR,IFERROR(XLOOKUP($A252,RetirementPlan!$B:$B,RetirementPlan!$M:$M,""),""))))</f>
        <v/>
      </c>
      <c r="H252" s="9">
        <f>IF(OR($A252="",F252="",G252=""),"",F252-G252)</f>
        <v/>
      </c>
      <c r="I252" s="9">
        <f>IF($A252="","",XLOOKUP($A252,RetirementPlan!$B:$B,RetirementPlan!$E:$E,""))</f>
        <v/>
      </c>
      <c r="J252" s="9">
        <f>IF($A252="","",N(XLOOKUP($A252,RetirementPlan!$B:$B,RetirementPlan!$G:$G,0))+N(XLOOKUP($A252,RetirementPlan!$B:$B,RetirementPlan!$H:$H,0)))</f>
        <v/>
      </c>
      <c r="K252">
        <f>IF($A252="","",IF(NOT(ISBLANK(XLOOKUP($A252,RetirementPlan!$B:$B,RetirementPlan!$N:$N,""))),XLOOKUP($A252,RetirementPlan!$B:$B,RetirementPlan!$N:$N,""),LET(cid,$A252,c,FILTER(LocationPlan!$D:$D,LocationPlan!$C:$C=cid),p,FILTER(LocationPlan!$E:$E,LocationPlan!$C:$C=cid),IFERROR(INDEX(c,MATCH(MAX(p),p,0)),""))))</f>
        <v/>
      </c>
    </row>
    <row r="253">
      <c r="B253">
        <f>IF($A253="","",XLOOKUP($A253,Clients!$A:$A,Clients!$D:$D)&amp;" "&amp;XLOOKUP($A253,Clients!$A:$A,Clients!$E:$E))</f>
        <v/>
      </c>
      <c r="C253">
        <f>IF($A253="","",DATEDIF(XLOOKUP($A253,Clients!$A:$A,Clients!$F:$F),VAL_DATE,"Y"))</f>
        <v/>
      </c>
      <c r="D253">
        <f>IF(OR($A253="",E253=""),"",E253-C253)</f>
        <v/>
      </c>
      <c r="E253">
        <f>IF($A253="","",XLOOKUP($A253,RetirementPlan!$B:$B,RetirementPlan!$C:$C,""))</f>
        <v/>
      </c>
      <c r="F253" s="9">
        <f>IF(OR($A253="",D253=""),"",FV(IF(IFERROR(XLOOKUP($A253,RetirementPlan!$B:$B,RetirementPlan!$K:$K,""),"")="",GROWTH,IFERROR(XLOOKUP($A253,RetirementPlan!$B:$B,RetirementPlan!$K:$K,""),"")),D253,-N(XLOOKUP($A253,RetirementPlan!$B:$B,RetirementPlan!$I:$I,0)),-SUMIFS(Assets!$J:$J,Assets!$B:$B,$A253,Assets!$R:$R,"Yes"),0))</f>
        <v/>
      </c>
      <c r="G253" s="9">
        <f>IF(OR($A253="",I253=""),"",MAX(0,(I253-J253)/IF(IFERROR(XLOOKUP($A253,RetirementPlan!$B:$B,RetirementPlan!$M:$M,""),"")="",SWR,IFERROR(XLOOKUP($A253,RetirementPlan!$B:$B,RetirementPlan!$M:$M,""),""))))</f>
        <v/>
      </c>
      <c r="H253" s="9">
        <f>IF(OR($A253="",F253="",G253=""),"",F253-G253)</f>
        <v/>
      </c>
      <c r="I253" s="9">
        <f>IF($A253="","",XLOOKUP($A253,RetirementPlan!$B:$B,RetirementPlan!$E:$E,""))</f>
        <v/>
      </c>
      <c r="J253" s="9">
        <f>IF($A253="","",N(XLOOKUP($A253,RetirementPlan!$B:$B,RetirementPlan!$G:$G,0))+N(XLOOKUP($A253,RetirementPlan!$B:$B,RetirementPlan!$H:$H,0)))</f>
        <v/>
      </c>
      <c r="K253">
        <f>IF($A253="","",IF(NOT(ISBLANK(XLOOKUP($A253,RetirementPlan!$B:$B,RetirementPlan!$N:$N,""))),XLOOKUP($A253,RetirementPlan!$B:$B,RetirementPlan!$N:$N,""),LET(cid,$A253,c,FILTER(LocationPlan!$D:$D,LocationPlan!$C:$C=cid),p,FILTER(LocationPlan!$E:$E,LocationPlan!$C:$C=cid),IFERROR(INDEX(c,MATCH(MAX(p),p,0)),""))))</f>
        <v/>
      </c>
    </row>
    <row r="254">
      <c r="B254">
        <f>IF($A254="","",XLOOKUP($A254,Clients!$A:$A,Clients!$D:$D)&amp;" "&amp;XLOOKUP($A254,Clients!$A:$A,Clients!$E:$E))</f>
        <v/>
      </c>
      <c r="C254">
        <f>IF($A254="","",DATEDIF(XLOOKUP($A254,Clients!$A:$A,Clients!$F:$F),VAL_DATE,"Y"))</f>
        <v/>
      </c>
      <c r="D254">
        <f>IF(OR($A254="",E254=""),"",E254-C254)</f>
        <v/>
      </c>
      <c r="E254">
        <f>IF($A254="","",XLOOKUP($A254,RetirementPlan!$B:$B,RetirementPlan!$C:$C,""))</f>
        <v/>
      </c>
      <c r="F254" s="9">
        <f>IF(OR($A254="",D254=""),"",FV(IF(IFERROR(XLOOKUP($A254,RetirementPlan!$B:$B,RetirementPlan!$K:$K,""),"")="",GROWTH,IFERROR(XLOOKUP($A254,RetirementPlan!$B:$B,RetirementPlan!$K:$K,""),"")),D254,-N(XLOOKUP($A254,RetirementPlan!$B:$B,RetirementPlan!$I:$I,0)),-SUMIFS(Assets!$J:$J,Assets!$B:$B,$A254,Assets!$R:$R,"Yes"),0))</f>
        <v/>
      </c>
      <c r="G254" s="9">
        <f>IF(OR($A254="",I254=""),"",MAX(0,(I254-J254)/IF(IFERROR(XLOOKUP($A254,RetirementPlan!$B:$B,RetirementPlan!$M:$M,""),"")="",SWR,IFERROR(XLOOKUP($A254,RetirementPlan!$B:$B,RetirementPlan!$M:$M,""),""))))</f>
        <v/>
      </c>
      <c r="H254" s="9">
        <f>IF(OR($A254="",F254="",G254=""),"",F254-G254)</f>
        <v/>
      </c>
      <c r="I254" s="9">
        <f>IF($A254="","",XLOOKUP($A254,RetirementPlan!$B:$B,RetirementPlan!$E:$E,""))</f>
        <v/>
      </c>
      <c r="J254" s="9">
        <f>IF($A254="","",N(XLOOKUP($A254,RetirementPlan!$B:$B,RetirementPlan!$G:$G,0))+N(XLOOKUP($A254,RetirementPlan!$B:$B,RetirementPlan!$H:$H,0)))</f>
        <v/>
      </c>
      <c r="K254">
        <f>IF($A254="","",IF(NOT(ISBLANK(XLOOKUP($A254,RetirementPlan!$B:$B,RetirementPlan!$N:$N,""))),XLOOKUP($A254,RetirementPlan!$B:$B,RetirementPlan!$N:$N,""),LET(cid,$A254,c,FILTER(LocationPlan!$D:$D,LocationPlan!$C:$C=cid),p,FILTER(LocationPlan!$E:$E,LocationPlan!$C:$C=cid),IFERROR(INDEX(c,MATCH(MAX(p),p,0)),""))))</f>
        <v/>
      </c>
    </row>
    <row r="255">
      <c r="B255">
        <f>IF($A255="","",XLOOKUP($A255,Clients!$A:$A,Clients!$D:$D)&amp;" "&amp;XLOOKUP($A255,Clients!$A:$A,Clients!$E:$E))</f>
        <v/>
      </c>
      <c r="C255">
        <f>IF($A255="","",DATEDIF(XLOOKUP($A255,Clients!$A:$A,Clients!$F:$F),VAL_DATE,"Y"))</f>
        <v/>
      </c>
      <c r="D255">
        <f>IF(OR($A255="",E255=""),"",E255-C255)</f>
        <v/>
      </c>
      <c r="E255">
        <f>IF($A255="","",XLOOKUP($A255,RetirementPlan!$B:$B,RetirementPlan!$C:$C,""))</f>
        <v/>
      </c>
      <c r="F255" s="9">
        <f>IF(OR($A255="",D255=""),"",FV(IF(IFERROR(XLOOKUP($A255,RetirementPlan!$B:$B,RetirementPlan!$K:$K,""),"")="",GROWTH,IFERROR(XLOOKUP($A255,RetirementPlan!$B:$B,RetirementPlan!$K:$K,""),"")),D255,-N(XLOOKUP($A255,RetirementPlan!$B:$B,RetirementPlan!$I:$I,0)),-SUMIFS(Assets!$J:$J,Assets!$B:$B,$A255,Assets!$R:$R,"Yes"),0))</f>
        <v/>
      </c>
      <c r="G255" s="9">
        <f>IF(OR($A255="",I255=""),"",MAX(0,(I255-J255)/IF(IFERROR(XLOOKUP($A255,RetirementPlan!$B:$B,RetirementPlan!$M:$M,""),"")="",SWR,IFERROR(XLOOKUP($A255,RetirementPlan!$B:$B,RetirementPlan!$M:$M,""),""))))</f>
        <v/>
      </c>
      <c r="H255" s="9">
        <f>IF(OR($A255="",F255="",G255=""),"",F255-G255)</f>
        <v/>
      </c>
      <c r="I255" s="9">
        <f>IF($A255="","",XLOOKUP($A255,RetirementPlan!$B:$B,RetirementPlan!$E:$E,""))</f>
        <v/>
      </c>
      <c r="J255" s="9">
        <f>IF($A255="","",N(XLOOKUP($A255,RetirementPlan!$B:$B,RetirementPlan!$G:$G,0))+N(XLOOKUP($A255,RetirementPlan!$B:$B,RetirementPlan!$H:$H,0)))</f>
        <v/>
      </c>
      <c r="K255">
        <f>IF($A255="","",IF(NOT(ISBLANK(XLOOKUP($A255,RetirementPlan!$B:$B,RetirementPlan!$N:$N,""))),XLOOKUP($A255,RetirementPlan!$B:$B,RetirementPlan!$N:$N,""),LET(cid,$A255,c,FILTER(LocationPlan!$D:$D,LocationPlan!$C:$C=cid),p,FILTER(LocationPlan!$E:$E,LocationPlan!$C:$C=cid),IFERROR(INDEX(c,MATCH(MAX(p),p,0)),""))))</f>
        <v/>
      </c>
    </row>
    <row r="256">
      <c r="B256">
        <f>IF($A256="","",XLOOKUP($A256,Clients!$A:$A,Clients!$D:$D)&amp;" "&amp;XLOOKUP($A256,Clients!$A:$A,Clients!$E:$E))</f>
        <v/>
      </c>
      <c r="C256">
        <f>IF($A256="","",DATEDIF(XLOOKUP($A256,Clients!$A:$A,Clients!$F:$F),VAL_DATE,"Y"))</f>
        <v/>
      </c>
      <c r="D256">
        <f>IF(OR($A256="",E256=""),"",E256-C256)</f>
        <v/>
      </c>
      <c r="E256">
        <f>IF($A256="","",XLOOKUP($A256,RetirementPlan!$B:$B,RetirementPlan!$C:$C,""))</f>
        <v/>
      </c>
      <c r="F256" s="9">
        <f>IF(OR($A256="",D256=""),"",FV(IF(IFERROR(XLOOKUP($A256,RetirementPlan!$B:$B,RetirementPlan!$K:$K,""),"")="",GROWTH,IFERROR(XLOOKUP($A256,RetirementPlan!$B:$B,RetirementPlan!$K:$K,""),"")),D256,-N(XLOOKUP($A256,RetirementPlan!$B:$B,RetirementPlan!$I:$I,0)),-SUMIFS(Assets!$J:$J,Assets!$B:$B,$A256,Assets!$R:$R,"Yes"),0))</f>
        <v/>
      </c>
      <c r="G256" s="9">
        <f>IF(OR($A256="",I256=""),"",MAX(0,(I256-J256)/IF(IFERROR(XLOOKUP($A256,RetirementPlan!$B:$B,RetirementPlan!$M:$M,""),"")="",SWR,IFERROR(XLOOKUP($A256,RetirementPlan!$B:$B,RetirementPlan!$M:$M,""),""))))</f>
        <v/>
      </c>
      <c r="H256" s="9">
        <f>IF(OR($A256="",F256="",G256=""),"",F256-G256)</f>
        <v/>
      </c>
      <c r="I256" s="9">
        <f>IF($A256="","",XLOOKUP($A256,RetirementPlan!$B:$B,RetirementPlan!$E:$E,""))</f>
        <v/>
      </c>
      <c r="J256" s="9">
        <f>IF($A256="","",N(XLOOKUP($A256,RetirementPlan!$B:$B,RetirementPlan!$G:$G,0))+N(XLOOKUP($A256,RetirementPlan!$B:$B,RetirementPlan!$H:$H,0)))</f>
        <v/>
      </c>
      <c r="K256">
        <f>IF($A256="","",IF(NOT(ISBLANK(XLOOKUP($A256,RetirementPlan!$B:$B,RetirementPlan!$N:$N,""))),XLOOKUP($A256,RetirementPlan!$B:$B,RetirementPlan!$N:$N,""),LET(cid,$A256,c,FILTER(LocationPlan!$D:$D,LocationPlan!$C:$C=cid),p,FILTER(LocationPlan!$E:$E,LocationPlan!$C:$C=cid),IFERROR(INDEX(c,MATCH(MAX(p),p,0)),""))))</f>
        <v/>
      </c>
    </row>
    <row r="257">
      <c r="B257">
        <f>IF($A257="","",XLOOKUP($A257,Clients!$A:$A,Clients!$D:$D)&amp;" "&amp;XLOOKUP($A257,Clients!$A:$A,Clients!$E:$E))</f>
        <v/>
      </c>
      <c r="C257">
        <f>IF($A257="","",DATEDIF(XLOOKUP($A257,Clients!$A:$A,Clients!$F:$F),VAL_DATE,"Y"))</f>
        <v/>
      </c>
      <c r="D257">
        <f>IF(OR($A257="",E257=""),"",E257-C257)</f>
        <v/>
      </c>
      <c r="E257">
        <f>IF($A257="","",XLOOKUP($A257,RetirementPlan!$B:$B,RetirementPlan!$C:$C,""))</f>
        <v/>
      </c>
      <c r="F257" s="9">
        <f>IF(OR($A257="",D257=""),"",FV(IF(IFERROR(XLOOKUP($A257,RetirementPlan!$B:$B,RetirementPlan!$K:$K,""),"")="",GROWTH,IFERROR(XLOOKUP($A257,RetirementPlan!$B:$B,RetirementPlan!$K:$K,""),"")),D257,-N(XLOOKUP($A257,RetirementPlan!$B:$B,RetirementPlan!$I:$I,0)),-SUMIFS(Assets!$J:$J,Assets!$B:$B,$A257,Assets!$R:$R,"Yes"),0))</f>
        <v/>
      </c>
      <c r="G257" s="9">
        <f>IF(OR($A257="",I257=""),"",MAX(0,(I257-J257)/IF(IFERROR(XLOOKUP($A257,RetirementPlan!$B:$B,RetirementPlan!$M:$M,""),"")="",SWR,IFERROR(XLOOKUP($A257,RetirementPlan!$B:$B,RetirementPlan!$M:$M,""),""))))</f>
        <v/>
      </c>
      <c r="H257" s="9">
        <f>IF(OR($A257="",F257="",G257=""),"",F257-G257)</f>
        <v/>
      </c>
      <c r="I257" s="9">
        <f>IF($A257="","",XLOOKUP($A257,RetirementPlan!$B:$B,RetirementPlan!$E:$E,""))</f>
        <v/>
      </c>
      <c r="J257" s="9">
        <f>IF($A257="","",N(XLOOKUP($A257,RetirementPlan!$B:$B,RetirementPlan!$G:$G,0))+N(XLOOKUP($A257,RetirementPlan!$B:$B,RetirementPlan!$H:$H,0)))</f>
        <v/>
      </c>
      <c r="K257">
        <f>IF($A257="","",IF(NOT(ISBLANK(XLOOKUP($A257,RetirementPlan!$B:$B,RetirementPlan!$N:$N,""))),XLOOKUP($A257,RetirementPlan!$B:$B,RetirementPlan!$N:$N,""),LET(cid,$A257,c,FILTER(LocationPlan!$D:$D,LocationPlan!$C:$C=cid),p,FILTER(LocationPlan!$E:$E,LocationPlan!$C:$C=cid),IFERROR(INDEX(c,MATCH(MAX(p),p,0)),""))))</f>
        <v/>
      </c>
    </row>
    <row r="258">
      <c r="B258">
        <f>IF($A258="","",XLOOKUP($A258,Clients!$A:$A,Clients!$D:$D)&amp;" "&amp;XLOOKUP($A258,Clients!$A:$A,Clients!$E:$E))</f>
        <v/>
      </c>
      <c r="C258">
        <f>IF($A258="","",DATEDIF(XLOOKUP($A258,Clients!$A:$A,Clients!$F:$F),VAL_DATE,"Y"))</f>
        <v/>
      </c>
      <c r="D258">
        <f>IF(OR($A258="",E258=""),"",E258-C258)</f>
        <v/>
      </c>
      <c r="E258">
        <f>IF($A258="","",XLOOKUP($A258,RetirementPlan!$B:$B,RetirementPlan!$C:$C,""))</f>
        <v/>
      </c>
      <c r="F258" s="9">
        <f>IF(OR($A258="",D258=""),"",FV(IF(IFERROR(XLOOKUP($A258,RetirementPlan!$B:$B,RetirementPlan!$K:$K,""),"")="",GROWTH,IFERROR(XLOOKUP($A258,RetirementPlan!$B:$B,RetirementPlan!$K:$K,""),"")),D258,-N(XLOOKUP($A258,RetirementPlan!$B:$B,RetirementPlan!$I:$I,0)),-SUMIFS(Assets!$J:$J,Assets!$B:$B,$A258,Assets!$R:$R,"Yes"),0))</f>
        <v/>
      </c>
      <c r="G258" s="9">
        <f>IF(OR($A258="",I258=""),"",MAX(0,(I258-J258)/IF(IFERROR(XLOOKUP($A258,RetirementPlan!$B:$B,RetirementPlan!$M:$M,""),"")="",SWR,IFERROR(XLOOKUP($A258,RetirementPlan!$B:$B,RetirementPlan!$M:$M,""),""))))</f>
        <v/>
      </c>
      <c r="H258" s="9">
        <f>IF(OR($A258="",F258="",G258=""),"",F258-G258)</f>
        <v/>
      </c>
      <c r="I258" s="9">
        <f>IF($A258="","",XLOOKUP($A258,RetirementPlan!$B:$B,RetirementPlan!$E:$E,""))</f>
        <v/>
      </c>
      <c r="J258" s="9">
        <f>IF($A258="","",N(XLOOKUP($A258,RetirementPlan!$B:$B,RetirementPlan!$G:$G,0))+N(XLOOKUP($A258,RetirementPlan!$B:$B,RetirementPlan!$H:$H,0)))</f>
        <v/>
      </c>
      <c r="K258">
        <f>IF($A258="","",IF(NOT(ISBLANK(XLOOKUP($A258,RetirementPlan!$B:$B,RetirementPlan!$N:$N,""))),XLOOKUP($A258,RetirementPlan!$B:$B,RetirementPlan!$N:$N,""),LET(cid,$A258,c,FILTER(LocationPlan!$D:$D,LocationPlan!$C:$C=cid),p,FILTER(LocationPlan!$E:$E,LocationPlan!$C:$C=cid),IFERROR(INDEX(c,MATCH(MAX(p),p,0)),""))))</f>
        <v/>
      </c>
    </row>
    <row r="259">
      <c r="B259">
        <f>IF($A259="","",XLOOKUP($A259,Clients!$A:$A,Clients!$D:$D)&amp;" "&amp;XLOOKUP($A259,Clients!$A:$A,Clients!$E:$E))</f>
        <v/>
      </c>
      <c r="C259">
        <f>IF($A259="","",DATEDIF(XLOOKUP($A259,Clients!$A:$A,Clients!$F:$F),VAL_DATE,"Y"))</f>
        <v/>
      </c>
      <c r="D259">
        <f>IF(OR($A259="",E259=""),"",E259-C259)</f>
        <v/>
      </c>
      <c r="E259">
        <f>IF($A259="","",XLOOKUP($A259,RetirementPlan!$B:$B,RetirementPlan!$C:$C,""))</f>
        <v/>
      </c>
      <c r="F259" s="9">
        <f>IF(OR($A259="",D259=""),"",FV(IF(IFERROR(XLOOKUP($A259,RetirementPlan!$B:$B,RetirementPlan!$K:$K,""),"")="",GROWTH,IFERROR(XLOOKUP($A259,RetirementPlan!$B:$B,RetirementPlan!$K:$K,""),"")),D259,-N(XLOOKUP($A259,RetirementPlan!$B:$B,RetirementPlan!$I:$I,0)),-SUMIFS(Assets!$J:$J,Assets!$B:$B,$A259,Assets!$R:$R,"Yes"),0))</f>
        <v/>
      </c>
      <c r="G259" s="9">
        <f>IF(OR($A259="",I259=""),"",MAX(0,(I259-J259)/IF(IFERROR(XLOOKUP($A259,RetirementPlan!$B:$B,RetirementPlan!$M:$M,""),"")="",SWR,IFERROR(XLOOKUP($A259,RetirementPlan!$B:$B,RetirementPlan!$M:$M,""),""))))</f>
        <v/>
      </c>
      <c r="H259" s="9">
        <f>IF(OR($A259="",F259="",G259=""),"",F259-G259)</f>
        <v/>
      </c>
      <c r="I259" s="9">
        <f>IF($A259="","",XLOOKUP($A259,RetirementPlan!$B:$B,RetirementPlan!$E:$E,""))</f>
        <v/>
      </c>
      <c r="J259" s="9">
        <f>IF($A259="","",N(XLOOKUP($A259,RetirementPlan!$B:$B,RetirementPlan!$G:$G,0))+N(XLOOKUP($A259,RetirementPlan!$B:$B,RetirementPlan!$H:$H,0)))</f>
        <v/>
      </c>
      <c r="K259">
        <f>IF($A259="","",IF(NOT(ISBLANK(XLOOKUP($A259,RetirementPlan!$B:$B,RetirementPlan!$N:$N,""))),XLOOKUP($A259,RetirementPlan!$B:$B,RetirementPlan!$N:$N,""),LET(cid,$A259,c,FILTER(LocationPlan!$D:$D,LocationPlan!$C:$C=cid),p,FILTER(LocationPlan!$E:$E,LocationPlan!$C:$C=cid),IFERROR(INDEX(c,MATCH(MAX(p),p,0)),""))))</f>
        <v/>
      </c>
    </row>
    <row r="260">
      <c r="B260">
        <f>IF($A260="","",XLOOKUP($A260,Clients!$A:$A,Clients!$D:$D)&amp;" "&amp;XLOOKUP($A260,Clients!$A:$A,Clients!$E:$E))</f>
        <v/>
      </c>
      <c r="C260">
        <f>IF($A260="","",DATEDIF(XLOOKUP($A260,Clients!$A:$A,Clients!$F:$F),VAL_DATE,"Y"))</f>
        <v/>
      </c>
      <c r="D260">
        <f>IF(OR($A260="",E260=""),"",E260-C260)</f>
        <v/>
      </c>
      <c r="E260">
        <f>IF($A260="","",XLOOKUP($A260,RetirementPlan!$B:$B,RetirementPlan!$C:$C,""))</f>
        <v/>
      </c>
      <c r="F260" s="9">
        <f>IF(OR($A260="",D260=""),"",FV(IF(IFERROR(XLOOKUP($A260,RetirementPlan!$B:$B,RetirementPlan!$K:$K,""),"")="",GROWTH,IFERROR(XLOOKUP($A260,RetirementPlan!$B:$B,RetirementPlan!$K:$K,""),"")),D260,-N(XLOOKUP($A260,RetirementPlan!$B:$B,RetirementPlan!$I:$I,0)),-SUMIFS(Assets!$J:$J,Assets!$B:$B,$A260,Assets!$R:$R,"Yes"),0))</f>
        <v/>
      </c>
      <c r="G260" s="9">
        <f>IF(OR($A260="",I260=""),"",MAX(0,(I260-J260)/IF(IFERROR(XLOOKUP($A260,RetirementPlan!$B:$B,RetirementPlan!$M:$M,""),"")="",SWR,IFERROR(XLOOKUP($A260,RetirementPlan!$B:$B,RetirementPlan!$M:$M,""),""))))</f>
        <v/>
      </c>
      <c r="H260" s="9">
        <f>IF(OR($A260="",F260="",G260=""),"",F260-G260)</f>
        <v/>
      </c>
      <c r="I260" s="9">
        <f>IF($A260="","",XLOOKUP($A260,RetirementPlan!$B:$B,RetirementPlan!$E:$E,""))</f>
        <v/>
      </c>
      <c r="J260" s="9">
        <f>IF($A260="","",N(XLOOKUP($A260,RetirementPlan!$B:$B,RetirementPlan!$G:$G,0))+N(XLOOKUP($A260,RetirementPlan!$B:$B,RetirementPlan!$H:$H,0)))</f>
        <v/>
      </c>
      <c r="K260">
        <f>IF($A260="","",IF(NOT(ISBLANK(XLOOKUP($A260,RetirementPlan!$B:$B,RetirementPlan!$N:$N,""))),XLOOKUP($A260,RetirementPlan!$B:$B,RetirementPlan!$N:$N,""),LET(cid,$A260,c,FILTER(LocationPlan!$D:$D,LocationPlan!$C:$C=cid),p,FILTER(LocationPlan!$E:$E,LocationPlan!$C:$C=cid),IFERROR(INDEX(c,MATCH(MAX(p),p,0)),""))))</f>
        <v/>
      </c>
    </row>
    <row r="261">
      <c r="B261">
        <f>IF($A261="","",XLOOKUP($A261,Clients!$A:$A,Clients!$D:$D)&amp;" "&amp;XLOOKUP($A261,Clients!$A:$A,Clients!$E:$E))</f>
        <v/>
      </c>
      <c r="C261">
        <f>IF($A261="","",DATEDIF(XLOOKUP($A261,Clients!$A:$A,Clients!$F:$F),VAL_DATE,"Y"))</f>
        <v/>
      </c>
      <c r="D261">
        <f>IF(OR($A261="",E261=""),"",E261-C261)</f>
        <v/>
      </c>
      <c r="E261">
        <f>IF($A261="","",XLOOKUP($A261,RetirementPlan!$B:$B,RetirementPlan!$C:$C,""))</f>
        <v/>
      </c>
      <c r="F261" s="9">
        <f>IF(OR($A261="",D261=""),"",FV(IF(IFERROR(XLOOKUP($A261,RetirementPlan!$B:$B,RetirementPlan!$K:$K,""),"")="",GROWTH,IFERROR(XLOOKUP($A261,RetirementPlan!$B:$B,RetirementPlan!$K:$K,""),"")),D261,-N(XLOOKUP($A261,RetirementPlan!$B:$B,RetirementPlan!$I:$I,0)),-SUMIFS(Assets!$J:$J,Assets!$B:$B,$A261,Assets!$R:$R,"Yes"),0))</f>
        <v/>
      </c>
      <c r="G261" s="9">
        <f>IF(OR($A261="",I261=""),"",MAX(0,(I261-J261)/IF(IFERROR(XLOOKUP($A261,RetirementPlan!$B:$B,RetirementPlan!$M:$M,""),"")="",SWR,IFERROR(XLOOKUP($A261,RetirementPlan!$B:$B,RetirementPlan!$M:$M,""),""))))</f>
        <v/>
      </c>
      <c r="H261" s="9">
        <f>IF(OR($A261="",F261="",G261=""),"",F261-G261)</f>
        <v/>
      </c>
      <c r="I261" s="9">
        <f>IF($A261="","",XLOOKUP($A261,RetirementPlan!$B:$B,RetirementPlan!$E:$E,""))</f>
        <v/>
      </c>
      <c r="J261" s="9">
        <f>IF($A261="","",N(XLOOKUP($A261,RetirementPlan!$B:$B,RetirementPlan!$G:$G,0))+N(XLOOKUP($A261,RetirementPlan!$B:$B,RetirementPlan!$H:$H,0)))</f>
        <v/>
      </c>
      <c r="K261">
        <f>IF($A261="","",IF(NOT(ISBLANK(XLOOKUP($A261,RetirementPlan!$B:$B,RetirementPlan!$N:$N,""))),XLOOKUP($A261,RetirementPlan!$B:$B,RetirementPlan!$N:$N,""),LET(cid,$A261,c,FILTER(LocationPlan!$D:$D,LocationPlan!$C:$C=cid),p,FILTER(LocationPlan!$E:$E,LocationPlan!$C:$C=cid),IFERROR(INDEX(c,MATCH(MAX(p),p,0)),""))))</f>
        <v/>
      </c>
    </row>
    <row r="262">
      <c r="B262">
        <f>IF($A262="","",XLOOKUP($A262,Clients!$A:$A,Clients!$D:$D)&amp;" "&amp;XLOOKUP($A262,Clients!$A:$A,Clients!$E:$E))</f>
        <v/>
      </c>
      <c r="C262">
        <f>IF($A262="","",DATEDIF(XLOOKUP($A262,Clients!$A:$A,Clients!$F:$F),VAL_DATE,"Y"))</f>
        <v/>
      </c>
      <c r="D262">
        <f>IF(OR($A262="",E262=""),"",E262-C262)</f>
        <v/>
      </c>
      <c r="E262">
        <f>IF($A262="","",XLOOKUP($A262,RetirementPlan!$B:$B,RetirementPlan!$C:$C,""))</f>
        <v/>
      </c>
      <c r="F262" s="9">
        <f>IF(OR($A262="",D262=""),"",FV(IF(IFERROR(XLOOKUP($A262,RetirementPlan!$B:$B,RetirementPlan!$K:$K,""),"")="",GROWTH,IFERROR(XLOOKUP($A262,RetirementPlan!$B:$B,RetirementPlan!$K:$K,""),"")),D262,-N(XLOOKUP($A262,RetirementPlan!$B:$B,RetirementPlan!$I:$I,0)),-SUMIFS(Assets!$J:$J,Assets!$B:$B,$A262,Assets!$R:$R,"Yes"),0))</f>
        <v/>
      </c>
      <c r="G262" s="9">
        <f>IF(OR($A262="",I262=""),"",MAX(0,(I262-J262)/IF(IFERROR(XLOOKUP($A262,RetirementPlan!$B:$B,RetirementPlan!$M:$M,""),"")="",SWR,IFERROR(XLOOKUP($A262,RetirementPlan!$B:$B,RetirementPlan!$M:$M,""),""))))</f>
        <v/>
      </c>
      <c r="H262" s="9">
        <f>IF(OR($A262="",F262="",G262=""),"",F262-G262)</f>
        <v/>
      </c>
      <c r="I262" s="9">
        <f>IF($A262="","",XLOOKUP($A262,RetirementPlan!$B:$B,RetirementPlan!$E:$E,""))</f>
        <v/>
      </c>
      <c r="J262" s="9">
        <f>IF($A262="","",N(XLOOKUP($A262,RetirementPlan!$B:$B,RetirementPlan!$G:$G,0))+N(XLOOKUP($A262,RetirementPlan!$B:$B,RetirementPlan!$H:$H,0)))</f>
        <v/>
      </c>
      <c r="K262">
        <f>IF($A262="","",IF(NOT(ISBLANK(XLOOKUP($A262,RetirementPlan!$B:$B,RetirementPlan!$N:$N,""))),XLOOKUP($A262,RetirementPlan!$B:$B,RetirementPlan!$N:$N,""),LET(cid,$A262,c,FILTER(LocationPlan!$D:$D,LocationPlan!$C:$C=cid),p,FILTER(LocationPlan!$E:$E,LocationPlan!$C:$C=cid),IFERROR(INDEX(c,MATCH(MAX(p),p,0)),""))))</f>
        <v/>
      </c>
    </row>
    <row r="263">
      <c r="B263">
        <f>IF($A263="","",XLOOKUP($A263,Clients!$A:$A,Clients!$D:$D)&amp;" "&amp;XLOOKUP($A263,Clients!$A:$A,Clients!$E:$E))</f>
        <v/>
      </c>
      <c r="C263">
        <f>IF($A263="","",DATEDIF(XLOOKUP($A263,Clients!$A:$A,Clients!$F:$F),VAL_DATE,"Y"))</f>
        <v/>
      </c>
      <c r="D263">
        <f>IF(OR($A263="",E263=""),"",E263-C263)</f>
        <v/>
      </c>
      <c r="E263">
        <f>IF($A263="","",XLOOKUP($A263,RetirementPlan!$B:$B,RetirementPlan!$C:$C,""))</f>
        <v/>
      </c>
      <c r="F263" s="9">
        <f>IF(OR($A263="",D263=""),"",FV(IF(IFERROR(XLOOKUP($A263,RetirementPlan!$B:$B,RetirementPlan!$K:$K,""),"")="",GROWTH,IFERROR(XLOOKUP($A263,RetirementPlan!$B:$B,RetirementPlan!$K:$K,""),"")),D263,-N(XLOOKUP($A263,RetirementPlan!$B:$B,RetirementPlan!$I:$I,0)),-SUMIFS(Assets!$J:$J,Assets!$B:$B,$A263,Assets!$R:$R,"Yes"),0))</f>
        <v/>
      </c>
      <c r="G263" s="9">
        <f>IF(OR($A263="",I263=""),"",MAX(0,(I263-J263)/IF(IFERROR(XLOOKUP($A263,RetirementPlan!$B:$B,RetirementPlan!$M:$M,""),"")="",SWR,IFERROR(XLOOKUP($A263,RetirementPlan!$B:$B,RetirementPlan!$M:$M,""),""))))</f>
        <v/>
      </c>
      <c r="H263" s="9">
        <f>IF(OR($A263="",F263="",G263=""),"",F263-G263)</f>
        <v/>
      </c>
      <c r="I263" s="9">
        <f>IF($A263="","",XLOOKUP($A263,RetirementPlan!$B:$B,RetirementPlan!$E:$E,""))</f>
        <v/>
      </c>
      <c r="J263" s="9">
        <f>IF($A263="","",N(XLOOKUP($A263,RetirementPlan!$B:$B,RetirementPlan!$G:$G,0))+N(XLOOKUP($A263,RetirementPlan!$B:$B,RetirementPlan!$H:$H,0)))</f>
        <v/>
      </c>
      <c r="K263">
        <f>IF($A263="","",IF(NOT(ISBLANK(XLOOKUP($A263,RetirementPlan!$B:$B,RetirementPlan!$N:$N,""))),XLOOKUP($A263,RetirementPlan!$B:$B,RetirementPlan!$N:$N,""),LET(cid,$A263,c,FILTER(LocationPlan!$D:$D,LocationPlan!$C:$C=cid),p,FILTER(LocationPlan!$E:$E,LocationPlan!$C:$C=cid),IFERROR(INDEX(c,MATCH(MAX(p),p,0)),""))))</f>
        <v/>
      </c>
    </row>
    <row r="264">
      <c r="B264">
        <f>IF($A264="","",XLOOKUP($A264,Clients!$A:$A,Clients!$D:$D)&amp;" "&amp;XLOOKUP($A264,Clients!$A:$A,Clients!$E:$E))</f>
        <v/>
      </c>
      <c r="C264">
        <f>IF($A264="","",DATEDIF(XLOOKUP($A264,Clients!$A:$A,Clients!$F:$F),VAL_DATE,"Y"))</f>
        <v/>
      </c>
      <c r="D264">
        <f>IF(OR($A264="",E264=""),"",E264-C264)</f>
        <v/>
      </c>
      <c r="E264">
        <f>IF($A264="","",XLOOKUP($A264,RetirementPlan!$B:$B,RetirementPlan!$C:$C,""))</f>
        <v/>
      </c>
      <c r="F264" s="9">
        <f>IF(OR($A264="",D264=""),"",FV(IF(IFERROR(XLOOKUP($A264,RetirementPlan!$B:$B,RetirementPlan!$K:$K,""),"")="",GROWTH,IFERROR(XLOOKUP($A264,RetirementPlan!$B:$B,RetirementPlan!$K:$K,""),"")),D264,-N(XLOOKUP($A264,RetirementPlan!$B:$B,RetirementPlan!$I:$I,0)),-SUMIFS(Assets!$J:$J,Assets!$B:$B,$A264,Assets!$R:$R,"Yes"),0))</f>
        <v/>
      </c>
      <c r="G264" s="9">
        <f>IF(OR($A264="",I264=""),"",MAX(0,(I264-J264)/IF(IFERROR(XLOOKUP($A264,RetirementPlan!$B:$B,RetirementPlan!$M:$M,""),"")="",SWR,IFERROR(XLOOKUP($A264,RetirementPlan!$B:$B,RetirementPlan!$M:$M,""),""))))</f>
        <v/>
      </c>
      <c r="H264" s="9">
        <f>IF(OR($A264="",F264="",G264=""),"",F264-G264)</f>
        <v/>
      </c>
      <c r="I264" s="9">
        <f>IF($A264="","",XLOOKUP($A264,RetirementPlan!$B:$B,RetirementPlan!$E:$E,""))</f>
        <v/>
      </c>
      <c r="J264" s="9">
        <f>IF($A264="","",N(XLOOKUP($A264,RetirementPlan!$B:$B,RetirementPlan!$G:$G,0))+N(XLOOKUP($A264,RetirementPlan!$B:$B,RetirementPlan!$H:$H,0)))</f>
        <v/>
      </c>
      <c r="K264">
        <f>IF($A264="","",IF(NOT(ISBLANK(XLOOKUP($A264,RetirementPlan!$B:$B,RetirementPlan!$N:$N,""))),XLOOKUP($A264,RetirementPlan!$B:$B,RetirementPlan!$N:$N,""),LET(cid,$A264,c,FILTER(LocationPlan!$D:$D,LocationPlan!$C:$C=cid),p,FILTER(LocationPlan!$E:$E,LocationPlan!$C:$C=cid),IFERROR(INDEX(c,MATCH(MAX(p),p,0)),""))))</f>
        <v/>
      </c>
    </row>
    <row r="265">
      <c r="B265">
        <f>IF($A265="","",XLOOKUP($A265,Clients!$A:$A,Clients!$D:$D)&amp;" "&amp;XLOOKUP($A265,Clients!$A:$A,Clients!$E:$E))</f>
        <v/>
      </c>
      <c r="C265">
        <f>IF($A265="","",DATEDIF(XLOOKUP($A265,Clients!$A:$A,Clients!$F:$F),VAL_DATE,"Y"))</f>
        <v/>
      </c>
      <c r="D265">
        <f>IF(OR($A265="",E265=""),"",E265-C265)</f>
        <v/>
      </c>
      <c r="E265">
        <f>IF($A265="","",XLOOKUP($A265,RetirementPlan!$B:$B,RetirementPlan!$C:$C,""))</f>
        <v/>
      </c>
      <c r="F265" s="9">
        <f>IF(OR($A265="",D265=""),"",FV(IF(IFERROR(XLOOKUP($A265,RetirementPlan!$B:$B,RetirementPlan!$K:$K,""),"")="",GROWTH,IFERROR(XLOOKUP($A265,RetirementPlan!$B:$B,RetirementPlan!$K:$K,""),"")),D265,-N(XLOOKUP($A265,RetirementPlan!$B:$B,RetirementPlan!$I:$I,0)),-SUMIFS(Assets!$J:$J,Assets!$B:$B,$A265,Assets!$R:$R,"Yes"),0))</f>
        <v/>
      </c>
      <c r="G265" s="9">
        <f>IF(OR($A265="",I265=""),"",MAX(0,(I265-J265)/IF(IFERROR(XLOOKUP($A265,RetirementPlan!$B:$B,RetirementPlan!$M:$M,""),"")="",SWR,IFERROR(XLOOKUP($A265,RetirementPlan!$B:$B,RetirementPlan!$M:$M,""),""))))</f>
        <v/>
      </c>
      <c r="H265" s="9">
        <f>IF(OR($A265="",F265="",G265=""),"",F265-G265)</f>
        <v/>
      </c>
      <c r="I265" s="9">
        <f>IF($A265="","",XLOOKUP($A265,RetirementPlan!$B:$B,RetirementPlan!$E:$E,""))</f>
        <v/>
      </c>
      <c r="J265" s="9">
        <f>IF($A265="","",N(XLOOKUP($A265,RetirementPlan!$B:$B,RetirementPlan!$G:$G,0))+N(XLOOKUP($A265,RetirementPlan!$B:$B,RetirementPlan!$H:$H,0)))</f>
        <v/>
      </c>
      <c r="K265">
        <f>IF($A265="","",IF(NOT(ISBLANK(XLOOKUP($A265,RetirementPlan!$B:$B,RetirementPlan!$N:$N,""))),XLOOKUP($A265,RetirementPlan!$B:$B,RetirementPlan!$N:$N,""),LET(cid,$A265,c,FILTER(LocationPlan!$D:$D,LocationPlan!$C:$C=cid),p,FILTER(LocationPlan!$E:$E,LocationPlan!$C:$C=cid),IFERROR(INDEX(c,MATCH(MAX(p),p,0)),""))))</f>
        <v/>
      </c>
    </row>
    <row r="266">
      <c r="B266">
        <f>IF($A266="","",XLOOKUP($A266,Clients!$A:$A,Clients!$D:$D)&amp;" "&amp;XLOOKUP($A266,Clients!$A:$A,Clients!$E:$E))</f>
        <v/>
      </c>
      <c r="C266">
        <f>IF($A266="","",DATEDIF(XLOOKUP($A266,Clients!$A:$A,Clients!$F:$F),VAL_DATE,"Y"))</f>
        <v/>
      </c>
      <c r="D266">
        <f>IF(OR($A266="",E266=""),"",E266-C266)</f>
        <v/>
      </c>
      <c r="E266">
        <f>IF($A266="","",XLOOKUP($A266,RetirementPlan!$B:$B,RetirementPlan!$C:$C,""))</f>
        <v/>
      </c>
      <c r="F266" s="9">
        <f>IF(OR($A266="",D266=""),"",FV(IF(IFERROR(XLOOKUP($A266,RetirementPlan!$B:$B,RetirementPlan!$K:$K,""),"")="",GROWTH,IFERROR(XLOOKUP($A266,RetirementPlan!$B:$B,RetirementPlan!$K:$K,""),"")),D266,-N(XLOOKUP($A266,RetirementPlan!$B:$B,RetirementPlan!$I:$I,0)),-SUMIFS(Assets!$J:$J,Assets!$B:$B,$A266,Assets!$R:$R,"Yes"),0))</f>
        <v/>
      </c>
      <c r="G266" s="9">
        <f>IF(OR($A266="",I266=""),"",MAX(0,(I266-J266)/IF(IFERROR(XLOOKUP($A266,RetirementPlan!$B:$B,RetirementPlan!$M:$M,""),"")="",SWR,IFERROR(XLOOKUP($A266,RetirementPlan!$B:$B,RetirementPlan!$M:$M,""),""))))</f>
        <v/>
      </c>
      <c r="H266" s="9">
        <f>IF(OR($A266="",F266="",G266=""),"",F266-G266)</f>
        <v/>
      </c>
      <c r="I266" s="9">
        <f>IF($A266="","",XLOOKUP($A266,RetirementPlan!$B:$B,RetirementPlan!$E:$E,""))</f>
        <v/>
      </c>
      <c r="J266" s="9">
        <f>IF($A266="","",N(XLOOKUP($A266,RetirementPlan!$B:$B,RetirementPlan!$G:$G,0))+N(XLOOKUP($A266,RetirementPlan!$B:$B,RetirementPlan!$H:$H,0)))</f>
        <v/>
      </c>
      <c r="K266">
        <f>IF($A266="","",IF(NOT(ISBLANK(XLOOKUP($A266,RetirementPlan!$B:$B,RetirementPlan!$N:$N,""))),XLOOKUP($A266,RetirementPlan!$B:$B,RetirementPlan!$N:$N,""),LET(cid,$A266,c,FILTER(LocationPlan!$D:$D,LocationPlan!$C:$C=cid),p,FILTER(LocationPlan!$E:$E,LocationPlan!$C:$C=cid),IFERROR(INDEX(c,MATCH(MAX(p),p,0)),""))))</f>
        <v/>
      </c>
    </row>
    <row r="267">
      <c r="B267">
        <f>IF($A267="","",XLOOKUP($A267,Clients!$A:$A,Clients!$D:$D)&amp;" "&amp;XLOOKUP($A267,Clients!$A:$A,Clients!$E:$E))</f>
        <v/>
      </c>
      <c r="C267">
        <f>IF($A267="","",DATEDIF(XLOOKUP($A267,Clients!$A:$A,Clients!$F:$F),VAL_DATE,"Y"))</f>
        <v/>
      </c>
      <c r="D267">
        <f>IF(OR($A267="",E267=""),"",E267-C267)</f>
        <v/>
      </c>
      <c r="E267">
        <f>IF($A267="","",XLOOKUP($A267,RetirementPlan!$B:$B,RetirementPlan!$C:$C,""))</f>
        <v/>
      </c>
      <c r="F267" s="9">
        <f>IF(OR($A267="",D267=""),"",FV(IF(IFERROR(XLOOKUP($A267,RetirementPlan!$B:$B,RetirementPlan!$K:$K,""),"")="",GROWTH,IFERROR(XLOOKUP($A267,RetirementPlan!$B:$B,RetirementPlan!$K:$K,""),"")),D267,-N(XLOOKUP($A267,RetirementPlan!$B:$B,RetirementPlan!$I:$I,0)),-SUMIFS(Assets!$J:$J,Assets!$B:$B,$A267,Assets!$R:$R,"Yes"),0))</f>
        <v/>
      </c>
      <c r="G267" s="9">
        <f>IF(OR($A267="",I267=""),"",MAX(0,(I267-J267)/IF(IFERROR(XLOOKUP($A267,RetirementPlan!$B:$B,RetirementPlan!$M:$M,""),"")="",SWR,IFERROR(XLOOKUP($A267,RetirementPlan!$B:$B,RetirementPlan!$M:$M,""),""))))</f>
        <v/>
      </c>
      <c r="H267" s="9">
        <f>IF(OR($A267="",F267="",G267=""),"",F267-G267)</f>
        <v/>
      </c>
      <c r="I267" s="9">
        <f>IF($A267="","",XLOOKUP($A267,RetirementPlan!$B:$B,RetirementPlan!$E:$E,""))</f>
        <v/>
      </c>
      <c r="J267" s="9">
        <f>IF($A267="","",N(XLOOKUP($A267,RetirementPlan!$B:$B,RetirementPlan!$G:$G,0))+N(XLOOKUP($A267,RetirementPlan!$B:$B,RetirementPlan!$H:$H,0)))</f>
        <v/>
      </c>
      <c r="K267">
        <f>IF($A267="","",IF(NOT(ISBLANK(XLOOKUP($A267,RetirementPlan!$B:$B,RetirementPlan!$N:$N,""))),XLOOKUP($A267,RetirementPlan!$B:$B,RetirementPlan!$N:$N,""),LET(cid,$A267,c,FILTER(LocationPlan!$D:$D,LocationPlan!$C:$C=cid),p,FILTER(LocationPlan!$E:$E,LocationPlan!$C:$C=cid),IFERROR(INDEX(c,MATCH(MAX(p),p,0)),""))))</f>
        <v/>
      </c>
    </row>
    <row r="268">
      <c r="B268">
        <f>IF($A268="","",XLOOKUP($A268,Clients!$A:$A,Clients!$D:$D)&amp;" "&amp;XLOOKUP($A268,Clients!$A:$A,Clients!$E:$E))</f>
        <v/>
      </c>
      <c r="C268">
        <f>IF($A268="","",DATEDIF(XLOOKUP($A268,Clients!$A:$A,Clients!$F:$F),VAL_DATE,"Y"))</f>
        <v/>
      </c>
      <c r="D268">
        <f>IF(OR($A268="",E268=""),"",E268-C268)</f>
        <v/>
      </c>
      <c r="E268">
        <f>IF($A268="","",XLOOKUP($A268,RetirementPlan!$B:$B,RetirementPlan!$C:$C,""))</f>
        <v/>
      </c>
      <c r="F268" s="9">
        <f>IF(OR($A268="",D268=""),"",FV(IF(IFERROR(XLOOKUP($A268,RetirementPlan!$B:$B,RetirementPlan!$K:$K,""),"")="",GROWTH,IFERROR(XLOOKUP($A268,RetirementPlan!$B:$B,RetirementPlan!$K:$K,""),"")),D268,-N(XLOOKUP($A268,RetirementPlan!$B:$B,RetirementPlan!$I:$I,0)),-SUMIFS(Assets!$J:$J,Assets!$B:$B,$A268,Assets!$R:$R,"Yes"),0))</f>
        <v/>
      </c>
      <c r="G268" s="9">
        <f>IF(OR($A268="",I268=""),"",MAX(0,(I268-J268)/IF(IFERROR(XLOOKUP($A268,RetirementPlan!$B:$B,RetirementPlan!$M:$M,""),"")="",SWR,IFERROR(XLOOKUP($A268,RetirementPlan!$B:$B,RetirementPlan!$M:$M,""),""))))</f>
        <v/>
      </c>
      <c r="H268" s="9">
        <f>IF(OR($A268="",F268="",G268=""),"",F268-G268)</f>
        <v/>
      </c>
      <c r="I268" s="9">
        <f>IF($A268="","",XLOOKUP($A268,RetirementPlan!$B:$B,RetirementPlan!$E:$E,""))</f>
        <v/>
      </c>
      <c r="J268" s="9">
        <f>IF($A268="","",N(XLOOKUP($A268,RetirementPlan!$B:$B,RetirementPlan!$G:$G,0))+N(XLOOKUP($A268,RetirementPlan!$B:$B,RetirementPlan!$H:$H,0)))</f>
        <v/>
      </c>
      <c r="K268">
        <f>IF($A268="","",IF(NOT(ISBLANK(XLOOKUP($A268,RetirementPlan!$B:$B,RetirementPlan!$N:$N,""))),XLOOKUP($A268,RetirementPlan!$B:$B,RetirementPlan!$N:$N,""),LET(cid,$A268,c,FILTER(LocationPlan!$D:$D,LocationPlan!$C:$C=cid),p,FILTER(LocationPlan!$E:$E,LocationPlan!$C:$C=cid),IFERROR(INDEX(c,MATCH(MAX(p),p,0)),""))))</f>
        <v/>
      </c>
    </row>
    <row r="269">
      <c r="B269">
        <f>IF($A269="","",XLOOKUP($A269,Clients!$A:$A,Clients!$D:$D)&amp;" "&amp;XLOOKUP($A269,Clients!$A:$A,Clients!$E:$E))</f>
        <v/>
      </c>
      <c r="C269">
        <f>IF($A269="","",DATEDIF(XLOOKUP($A269,Clients!$A:$A,Clients!$F:$F),VAL_DATE,"Y"))</f>
        <v/>
      </c>
      <c r="D269">
        <f>IF(OR($A269="",E269=""),"",E269-C269)</f>
        <v/>
      </c>
      <c r="E269">
        <f>IF($A269="","",XLOOKUP($A269,RetirementPlan!$B:$B,RetirementPlan!$C:$C,""))</f>
        <v/>
      </c>
      <c r="F269" s="9">
        <f>IF(OR($A269="",D269=""),"",FV(IF(IFERROR(XLOOKUP($A269,RetirementPlan!$B:$B,RetirementPlan!$K:$K,""),"")="",GROWTH,IFERROR(XLOOKUP($A269,RetirementPlan!$B:$B,RetirementPlan!$K:$K,""),"")),D269,-N(XLOOKUP($A269,RetirementPlan!$B:$B,RetirementPlan!$I:$I,0)),-SUMIFS(Assets!$J:$J,Assets!$B:$B,$A269,Assets!$R:$R,"Yes"),0))</f>
        <v/>
      </c>
      <c r="G269" s="9">
        <f>IF(OR($A269="",I269=""),"",MAX(0,(I269-J269)/IF(IFERROR(XLOOKUP($A269,RetirementPlan!$B:$B,RetirementPlan!$M:$M,""),"")="",SWR,IFERROR(XLOOKUP($A269,RetirementPlan!$B:$B,RetirementPlan!$M:$M,""),""))))</f>
        <v/>
      </c>
      <c r="H269" s="9">
        <f>IF(OR($A269="",F269="",G269=""),"",F269-G269)</f>
        <v/>
      </c>
      <c r="I269" s="9">
        <f>IF($A269="","",XLOOKUP($A269,RetirementPlan!$B:$B,RetirementPlan!$E:$E,""))</f>
        <v/>
      </c>
      <c r="J269" s="9">
        <f>IF($A269="","",N(XLOOKUP($A269,RetirementPlan!$B:$B,RetirementPlan!$G:$G,0))+N(XLOOKUP($A269,RetirementPlan!$B:$B,RetirementPlan!$H:$H,0)))</f>
        <v/>
      </c>
      <c r="K269">
        <f>IF($A269="","",IF(NOT(ISBLANK(XLOOKUP($A269,RetirementPlan!$B:$B,RetirementPlan!$N:$N,""))),XLOOKUP($A269,RetirementPlan!$B:$B,RetirementPlan!$N:$N,""),LET(cid,$A269,c,FILTER(LocationPlan!$D:$D,LocationPlan!$C:$C=cid),p,FILTER(LocationPlan!$E:$E,LocationPlan!$C:$C=cid),IFERROR(INDEX(c,MATCH(MAX(p),p,0)),""))))</f>
        <v/>
      </c>
    </row>
    <row r="270">
      <c r="B270">
        <f>IF($A270="","",XLOOKUP($A270,Clients!$A:$A,Clients!$D:$D)&amp;" "&amp;XLOOKUP($A270,Clients!$A:$A,Clients!$E:$E))</f>
        <v/>
      </c>
      <c r="C270">
        <f>IF($A270="","",DATEDIF(XLOOKUP($A270,Clients!$A:$A,Clients!$F:$F),VAL_DATE,"Y"))</f>
        <v/>
      </c>
      <c r="D270">
        <f>IF(OR($A270="",E270=""),"",E270-C270)</f>
        <v/>
      </c>
      <c r="E270">
        <f>IF($A270="","",XLOOKUP($A270,RetirementPlan!$B:$B,RetirementPlan!$C:$C,""))</f>
        <v/>
      </c>
      <c r="F270" s="9">
        <f>IF(OR($A270="",D270=""),"",FV(IF(IFERROR(XLOOKUP($A270,RetirementPlan!$B:$B,RetirementPlan!$K:$K,""),"")="",GROWTH,IFERROR(XLOOKUP($A270,RetirementPlan!$B:$B,RetirementPlan!$K:$K,""),"")),D270,-N(XLOOKUP($A270,RetirementPlan!$B:$B,RetirementPlan!$I:$I,0)),-SUMIFS(Assets!$J:$J,Assets!$B:$B,$A270,Assets!$R:$R,"Yes"),0))</f>
        <v/>
      </c>
      <c r="G270" s="9">
        <f>IF(OR($A270="",I270=""),"",MAX(0,(I270-J270)/IF(IFERROR(XLOOKUP($A270,RetirementPlan!$B:$B,RetirementPlan!$M:$M,""),"")="",SWR,IFERROR(XLOOKUP($A270,RetirementPlan!$B:$B,RetirementPlan!$M:$M,""),""))))</f>
        <v/>
      </c>
      <c r="H270" s="9">
        <f>IF(OR($A270="",F270="",G270=""),"",F270-G270)</f>
        <v/>
      </c>
      <c r="I270" s="9">
        <f>IF($A270="","",XLOOKUP($A270,RetirementPlan!$B:$B,RetirementPlan!$E:$E,""))</f>
        <v/>
      </c>
      <c r="J270" s="9">
        <f>IF($A270="","",N(XLOOKUP($A270,RetirementPlan!$B:$B,RetirementPlan!$G:$G,0))+N(XLOOKUP($A270,RetirementPlan!$B:$B,RetirementPlan!$H:$H,0)))</f>
        <v/>
      </c>
      <c r="K270">
        <f>IF($A270="","",IF(NOT(ISBLANK(XLOOKUP($A270,RetirementPlan!$B:$B,RetirementPlan!$N:$N,""))),XLOOKUP($A270,RetirementPlan!$B:$B,RetirementPlan!$N:$N,""),LET(cid,$A270,c,FILTER(LocationPlan!$D:$D,LocationPlan!$C:$C=cid),p,FILTER(LocationPlan!$E:$E,LocationPlan!$C:$C=cid),IFERROR(INDEX(c,MATCH(MAX(p),p,0)),""))))</f>
        <v/>
      </c>
    </row>
    <row r="271">
      <c r="B271">
        <f>IF($A271="","",XLOOKUP($A271,Clients!$A:$A,Clients!$D:$D)&amp;" "&amp;XLOOKUP($A271,Clients!$A:$A,Clients!$E:$E))</f>
        <v/>
      </c>
      <c r="C271">
        <f>IF($A271="","",DATEDIF(XLOOKUP($A271,Clients!$A:$A,Clients!$F:$F),VAL_DATE,"Y"))</f>
        <v/>
      </c>
      <c r="D271">
        <f>IF(OR($A271="",E271=""),"",E271-C271)</f>
        <v/>
      </c>
      <c r="E271">
        <f>IF($A271="","",XLOOKUP($A271,RetirementPlan!$B:$B,RetirementPlan!$C:$C,""))</f>
        <v/>
      </c>
      <c r="F271" s="9">
        <f>IF(OR($A271="",D271=""),"",FV(IF(IFERROR(XLOOKUP($A271,RetirementPlan!$B:$B,RetirementPlan!$K:$K,""),"")="",GROWTH,IFERROR(XLOOKUP($A271,RetirementPlan!$B:$B,RetirementPlan!$K:$K,""),"")),D271,-N(XLOOKUP($A271,RetirementPlan!$B:$B,RetirementPlan!$I:$I,0)),-SUMIFS(Assets!$J:$J,Assets!$B:$B,$A271,Assets!$R:$R,"Yes"),0))</f>
        <v/>
      </c>
      <c r="G271" s="9">
        <f>IF(OR($A271="",I271=""),"",MAX(0,(I271-J271)/IF(IFERROR(XLOOKUP($A271,RetirementPlan!$B:$B,RetirementPlan!$M:$M,""),"")="",SWR,IFERROR(XLOOKUP($A271,RetirementPlan!$B:$B,RetirementPlan!$M:$M,""),""))))</f>
        <v/>
      </c>
      <c r="H271" s="9">
        <f>IF(OR($A271="",F271="",G271=""),"",F271-G271)</f>
        <v/>
      </c>
      <c r="I271" s="9">
        <f>IF($A271="","",XLOOKUP($A271,RetirementPlan!$B:$B,RetirementPlan!$E:$E,""))</f>
        <v/>
      </c>
      <c r="J271" s="9">
        <f>IF($A271="","",N(XLOOKUP($A271,RetirementPlan!$B:$B,RetirementPlan!$G:$G,0))+N(XLOOKUP($A271,RetirementPlan!$B:$B,RetirementPlan!$H:$H,0)))</f>
        <v/>
      </c>
      <c r="K271">
        <f>IF($A271="","",IF(NOT(ISBLANK(XLOOKUP($A271,RetirementPlan!$B:$B,RetirementPlan!$N:$N,""))),XLOOKUP($A271,RetirementPlan!$B:$B,RetirementPlan!$N:$N,""),LET(cid,$A271,c,FILTER(LocationPlan!$D:$D,LocationPlan!$C:$C=cid),p,FILTER(LocationPlan!$E:$E,LocationPlan!$C:$C=cid),IFERROR(INDEX(c,MATCH(MAX(p),p,0)),""))))</f>
        <v/>
      </c>
    </row>
    <row r="272">
      <c r="B272">
        <f>IF($A272="","",XLOOKUP($A272,Clients!$A:$A,Clients!$D:$D)&amp;" "&amp;XLOOKUP($A272,Clients!$A:$A,Clients!$E:$E))</f>
        <v/>
      </c>
      <c r="C272">
        <f>IF($A272="","",DATEDIF(XLOOKUP($A272,Clients!$A:$A,Clients!$F:$F),VAL_DATE,"Y"))</f>
        <v/>
      </c>
      <c r="D272">
        <f>IF(OR($A272="",E272=""),"",E272-C272)</f>
        <v/>
      </c>
      <c r="E272">
        <f>IF($A272="","",XLOOKUP($A272,RetirementPlan!$B:$B,RetirementPlan!$C:$C,""))</f>
        <v/>
      </c>
      <c r="F272" s="9">
        <f>IF(OR($A272="",D272=""),"",FV(IF(IFERROR(XLOOKUP($A272,RetirementPlan!$B:$B,RetirementPlan!$K:$K,""),"")="",GROWTH,IFERROR(XLOOKUP($A272,RetirementPlan!$B:$B,RetirementPlan!$K:$K,""),"")),D272,-N(XLOOKUP($A272,RetirementPlan!$B:$B,RetirementPlan!$I:$I,0)),-SUMIFS(Assets!$J:$J,Assets!$B:$B,$A272,Assets!$R:$R,"Yes"),0))</f>
        <v/>
      </c>
      <c r="G272" s="9">
        <f>IF(OR($A272="",I272=""),"",MAX(0,(I272-J272)/IF(IFERROR(XLOOKUP($A272,RetirementPlan!$B:$B,RetirementPlan!$M:$M,""),"")="",SWR,IFERROR(XLOOKUP($A272,RetirementPlan!$B:$B,RetirementPlan!$M:$M,""),""))))</f>
        <v/>
      </c>
      <c r="H272" s="9">
        <f>IF(OR($A272="",F272="",G272=""),"",F272-G272)</f>
        <v/>
      </c>
      <c r="I272" s="9">
        <f>IF($A272="","",XLOOKUP($A272,RetirementPlan!$B:$B,RetirementPlan!$E:$E,""))</f>
        <v/>
      </c>
      <c r="J272" s="9">
        <f>IF($A272="","",N(XLOOKUP($A272,RetirementPlan!$B:$B,RetirementPlan!$G:$G,0))+N(XLOOKUP($A272,RetirementPlan!$B:$B,RetirementPlan!$H:$H,0)))</f>
        <v/>
      </c>
      <c r="K272">
        <f>IF($A272="","",IF(NOT(ISBLANK(XLOOKUP($A272,RetirementPlan!$B:$B,RetirementPlan!$N:$N,""))),XLOOKUP($A272,RetirementPlan!$B:$B,RetirementPlan!$N:$N,""),LET(cid,$A272,c,FILTER(LocationPlan!$D:$D,LocationPlan!$C:$C=cid),p,FILTER(LocationPlan!$E:$E,LocationPlan!$C:$C=cid),IFERROR(INDEX(c,MATCH(MAX(p),p,0)),""))))</f>
        <v/>
      </c>
    </row>
    <row r="273">
      <c r="B273">
        <f>IF($A273="","",XLOOKUP($A273,Clients!$A:$A,Clients!$D:$D)&amp;" "&amp;XLOOKUP($A273,Clients!$A:$A,Clients!$E:$E))</f>
        <v/>
      </c>
      <c r="C273">
        <f>IF($A273="","",DATEDIF(XLOOKUP($A273,Clients!$A:$A,Clients!$F:$F),VAL_DATE,"Y"))</f>
        <v/>
      </c>
      <c r="D273">
        <f>IF(OR($A273="",E273=""),"",E273-C273)</f>
        <v/>
      </c>
      <c r="E273">
        <f>IF($A273="","",XLOOKUP($A273,RetirementPlan!$B:$B,RetirementPlan!$C:$C,""))</f>
        <v/>
      </c>
      <c r="F273" s="9">
        <f>IF(OR($A273="",D273=""),"",FV(IF(IFERROR(XLOOKUP($A273,RetirementPlan!$B:$B,RetirementPlan!$K:$K,""),"")="",GROWTH,IFERROR(XLOOKUP($A273,RetirementPlan!$B:$B,RetirementPlan!$K:$K,""),"")),D273,-N(XLOOKUP($A273,RetirementPlan!$B:$B,RetirementPlan!$I:$I,0)),-SUMIFS(Assets!$J:$J,Assets!$B:$B,$A273,Assets!$R:$R,"Yes"),0))</f>
        <v/>
      </c>
      <c r="G273" s="9">
        <f>IF(OR($A273="",I273=""),"",MAX(0,(I273-J273)/IF(IFERROR(XLOOKUP($A273,RetirementPlan!$B:$B,RetirementPlan!$M:$M,""),"")="",SWR,IFERROR(XLOOKUP($A273,RetirementPlan!$B:$B,RetirementPlan!$M:$M,""),""))))</f>
        <v/>
      </c>
      <c r="H273" s="9">
        <f>IF(OR($A273="",F273="",G273=""),"",F273-G273)</f>
        <v/>
      </c>
      <c r="I273" s="9">
        <f>IF($A273="","",XLOOKUP($A273,RetirementPlan!$B:$B,RetirementPlan!$E:$E,""))</f>
        <v/>
      </c>
      <c r="J273" s="9">
        <f>IF($A273="","",N(XLOOKUP($A273,RetirementPlan!$B:$B,RetirementPlan!$G:$G,0))+N(XLOOKUP($A273,RetirementPlan!$B:$B,RetirementPlan!$H:$H,0)))</f>
        <v/>
      </c>
      <c r="K273">
        <f>IF($A273="","",IF(NOT(ISBLANK(XLOOKUP($A273,RetirementPlan!$B:$B,RetirementPlan!$N:$N,""))),XLOOKUP($A273,RetirementPlan!$B:$B,RetirementPlan!$N:$N,""),LET(cid,$A273,c,FILTER(LocationPlan!$D:$D,LocationPlan!$C:$C=cid),p,FILTER(LocationPlan!$E:$E,LocationPlan!$C:$C=cid),IFERROR(INDEX(c,MATCH(MAX(p),p,0)),""))))</f>
        <v/>
      </c>
    </row>
    <row r="274">
      <c r="B274">
        <f>IF($A274="","",XLOOKUP($A274,Clients!$A:$A,Clients!$D:$D)&amp;" "&amp;XLOOKUP($A274,Clients!$A:$A,Clients!$E:$E))</f>
        <v/>
      </c>
      <c r="C274">
        <f>IF($A274="","",DATEDIF(XLOOKUP($A274,Clients!$A:$A,Clients!$F:$F),VAL_DATE,"Y"))</f>
        <v/>
      </c>
      <c r="D274">
        <f>IF(OR($A274="",E274=""),"",E274-C274)</f>
        <v/>
      </c>
      <c r="E274">
        <f>IF($A274="","",XLOOKUP($A274,RetirementPlan!$B:$B,RetirementPlan!$C:$C,""))</f>
        <v/>
      </c>
      <c r="F274" s="9">
        <f>IF(OR($A274="",D274=""),"",FV(IF(IFERROR(XLOOKUP($A274,RetirementPlan!$B:$B,RetirementPlan!$K:$K,""),"")="",GROWTH,IFERROR(XLOOKUP($A274,RetirementPlan!$B:$B,RetirementPlan!$K:$K,""),"")),D274,-N(XLOOKUP($A274,RetirementPlan!$B:$B,RetirementPlan!$I:$I,0)),-SUMIFS(Assets!$J:$J,Assets!$B:$B,$A274,Assets!$R:$R,"Yes"),0))</f>
        <v/>
      </c>
      <c r="G274" s="9">
        <f>IF(OR($A274="",I274=""),"",MAX(0,(I274-J274)/IF(IFERROR(XLOOKUP($A274,RetirementPlan!$B:$B,RetirementPlan!$M:$M,""),"")="",SWR,IFERROR(XLOOKUP($A274,RetirementPlan!$B:$B,RetirementPlan!$M:$M,""),""))))</f>
        <v/>
      </c>
      <c r="H274" s="9">
        <f>IF(OR($A274="",F274="",G274=""),"",F274-G274)</f>
        <v/>
      </c>
      <c r="I274" s="9">
        <f>IF($A274="","",XLOOKUP($A274,RetirementPlan!$B:$B,RetirementPlan!$E:$E,""))</f>
        <v/>
      </c>
      <c r="J274" s="9">
        <f>IF($A274="","",N(XLOOKUP($A274,RetirementPlan!$B:$B,RetirementPlan!$G:$G,0))+N(XLOOKUP($A274,RetirementPlan!$B:$B,RetirementPlan!$H:$H,0)))</f>
        <v/>
      </c>
      <c r="K274">
        <f>IF($A274="","",IF(NOT(ISBLANK(XLOOKUP($A274,RetirementPlan!$B:$B,RetirementPlan!$N:$N,""))),XLOOKUP($A274,RetirementPlan!$B:$B,RetirementPlan!$N:$N,""),LET(cid,$A274,c,FILTER(LocationPlan!$D:$D,LocationPlan!$C:$C=cid),p,FILTER(LocationPlan!$E:$E,LocationPlan!$C:$C=cid),IFERROR(INDEX(c,MATCH(MAX(p),p,0)),""))))</f>
        <v/>
      </c>
    </row>
    <row r="275">
      <c r="B275">
        <f>IF($A275="","",XLOOKUP($A275,Clients!$A:$A,Clients!$D:$D)&amp;" "&amp;XLOOKUP($A275,Clients!$A:$A,Clients!$E:$E))</f>
        <v/>
      </c>
      <c r="C275">
        <f>IF($A275="","",DATEDIF(XLOOKUP($A275,Clients!$A:$A,Clients!$F:$F),VAL_DATE,"Y"))</f>
        <v/>
      </c>
      <c r="D275">
        <f>IF(OR($A275="",E275=""),"",E275-C275)</f>
        <v/>
      </c>
      <c r="E275">
        <f>IF($A275="","",XLOOKUP($A275,RetirementPlan!$B:$B,RetirementPlan!$C:$C,""))</f>
        <v/>
      </c>
      <c r="F275" s="9">
        <f>IF(OR($A275="",D275=""),"",FV(IF(IFERROR(XLOOKUP($A275,RetirementPlan!$B:$B,RetirementPlan!$K:$K,""),"")="",GROWTH,IFERROR(XLOOKUP($A275,RetirementPlan!$B:$B,RetirementPlan!$K:$K,""),"")),D275,-N(XLOOKUP($A275,RetirementPlan!$B:$B,RetirementPlan!$I:$I,0)),-SUMIFS(Assets!$J:$J,Assets!$B:$B,$A275,Assets!$R:$R,"Yes"),0))</f>
        <v/>
      </c>
      <c r="G275" s="9">
        <f>IF(OR($A275="",I275=""),"",MAX(0,(I275-J275)/IF(IFERROR(XLOOKUP($A275,RetirementPlan!$B:$B,RetirementPlan!$M:$M,""),"")="",SWR,IFERROR(XLOOKUP($A275,RetirementPlan!$B:$B,RetirementPlan!$M:$M,""),""))))</f>
        <v/>
      </c>
      <c r="H275" s="9">
        <f>IF(OR($A275="",F275="",G275=""),"",F275-G275)</f>
        <v/>
      </c>
      <c r="I275" s="9">
        <f>IF($A275="","",XLOOKUP($A275,RetirementPlan!$B:$B,RetirementPlan!$E:$E,""))</f>
        <v/>
      </c>
      <c r="J275" s="9">
        <f>IF($A275="","",N(XLOOKUP($A275,RetirementPlan!$B:$B,RetirementPlan!$G:$G,0))+N(XLOOKUP($A275,RetirementPlan!$B:$B,RetirementPlan!$H:$H,0)))</f>
        <v/>
      </c>
      <c r="K275">
        <f>IF($A275="","",IF(NOT(ISBLANK(XLOOKUP($A275,RetirementPlan!$B:$B,RetirementPlan!$N:$N,""))),XLOOKUP($A275,RetirementPlan!$B:$B,RetirementPlan!$N:$N,""),LET(cid,$A275,c,FILTER(LocationPlan!$D:$D,LocationPlan!$C:$C=cid),p,FILTER(LocationPlan!$E:$E,LocationPlan!$C:$C=cid),IFERROR(INDEX(c,MATCH(MAX(p),p,0)),""))))</f>
        <v/>
      </c>
    </row>
    <row r="276">
      <c r="B276">
        <f>IF($A276="","",XLOOKUP($A276,Clients!$A:$A,Clients!$D:$D)&amp;" "&amp;XLOOKUP($A276,Clients!$A:$A,Clients!$E:$E))</f>
        <v/>
      </c>
      <c r="C276">
        <f>IF($A276="","",DATEDIF(XLOOKUP($A276,Clients!$A:$A,Clients!$F:$F),VAL_DATE,"Y"))</f>
        <v/>
      </c>
      <c r="D276">
        <f>IF(OR($A276="",E276=""),"",E276-C276)</f>
        <v/>
      </c>
      <c r="E276">
        <f>IF($A276="","",XLOOKUP($A276,RetirementPlan!$B:$B,RetirementPlan!$C:$C,""))</f>
        <v/>
      </c>
      <c r="F276" s="9">
        <f>IF(OR($A276="",D276=""),"",FV(IF(IFERROR(XLOOKUP($A276,RetirementPlan!$B:$B,RetirementPlan!$K:$K,""),"")="",GROWTH,IFERROR(XLOOKUP($A276,RetirementPlan!$B:$B,RetirementPlan!$K:$K,""),"")),D276,-N(XLOOKUP($A276,RetirementPlan!$B:$B,RetirementPlan!$I:$I,0)),-SUMIFS(Assets!$J:$J,Assets!$B:$B,$A276,Assets!$R:$R,"Yes"),0))</f>
        <v/>
      </c>
      <c r="G276" s="9">
        <f>IF(OR($A276="",I276=""),"",MAX(0,(I276-J276)/IF(IFERROR(XLOOKUP($A276,RetirementPlan!$B:$B,RetirementPlan!$M:$M,""),"")="",SWR,IFERROR(XLOOKUP($A276,RetirementPlan!$B:$B,RetirementPlan!$M:$M,""),""))))</f>
        <v/>
      </c>
      <c r="H276" s="9">
        <f>IF(OR($A276="",F276="",G276=""),"",F276-G276)</f>
        <v/>
      </c>
      <c r="I276" s="9">
        <f>IF($A276="","",XLOOKUP($A276,RetirementPlan!$B:$B,RetirementPlan!$E:$E,""))</f>
        <v/>
      </c>
      <c r="J276" s="9">
        <f>IF($A276="","",N(XLOOKUP($A276,RetirementPlan!$B:$B,RetirementPlan!$G:$G,0))+N(XLOOKUP($A276,RetirementPlan!$B:$B,RetirementPlan!$H:$H,0)))</f>
        <v/>
      </c>
      <c r="K276">
        <f>IF($A276="","",IF(NOT(ISBLANK(XLOOKUP($A276,RetirementPlan!$B:$B,RetirementPlan!$N:$N,""))),XLOOKUP($A276,RetirementPlan!$B:$B,RetirementPlan!$N:$N,""),LET(cid,$A276,c,FILTER(LocationPlan!$D:$D,LocationPlan!$C:$C=cid),p,FILTER(LocationPlan!$E:$E,LocationPlan!$C:$C=cid),IFERROR(INDEX(c,MATCH(MAX(p),p,0)),""))))</f>
        <v/>
      </c>
    </row>
    <row r="277">
      <c r="B277">
        <f>IF($A277="","",XLOOKUP($A277,Clients!$A:$A,Clients!$D:$D)&amp;" "&amp;XLOOKUP($A277,Clients!$A:$A,Clients!$E:$E))</f>
        <v/>
      </c>
      <c r="C277">
        <f>IF($A277="","",DATEDIF(XLOOKUP($A277,Clients!$A:$A,Clients!$F:$F),VAL_DATE,"Y"))</f>
        <v/>
      </c>
      <c r="D277">
        <f>IF(OR($A277="",E277=""),"",E277-C277)</f>
        <v/>
      </c>
      <c r="E277">
        <f>IF($A277="","",XLOOKUP($A277,RetirementPlan!$B:$B,RetirementPlan!$C:$C,""))</f>
        <v/>
      </c>
      <c r="F277" s="9">
        <f>IF(OR($A277="",D277=""),"",FV(IF(IFERROR(XLOOKUP($A277,RetirementPlan!$B:$B,RetirementPlan!$K:$K,""),"")="",GROWTH,IFERROR(XLOOKUP($A277,RetirementPlan!$B:$B,RetirementPlan!$K:$K,""),"")),D277,-N(XLOOKUP($A277,RetirementPlan!$B:$B,RetirementPlan!$I:$I,0)),-SUMIFS(Assets!$J:$J,Assets!$B:$B,$A277,Assets!$R:$R,"Yes"),0))</f>
        <v/>
      </c>
      <c r="G277" s="9">
        <f>IF(OR($A277="",I277=""),"",MAX(0,(I277-J277)/IF(IFERROR(XLOOKUP($A277,RetirementPlan!$B:$B,RetirementPlan!$M:$M,""),"")="",SWR,IFERROR(XLOOKUP($A277,RetirementPlan!$B:$B,RetirementPlan!$M:$M,""),""))))</f>
        <v/>
      </c>
      <c r="H277" s="9">
        <f>IF(OR($A277="",F277="",G277=""),"",F277-G277)</f>
        <v/>
      </c>
      <c r="I277" s="9">
        <f>IF($A277="","",XLOOKUP($A277,RetirementPlan!$B:$B,RetirementPlan!$E:$E,""))</f>
        <v/>
      </c>
      <c r="J277" s="9">
        <f>IF($A277="","",N(XLOOKUP($A277,RetirementPlan!$B:$B,RetirementPlan!$G:$G,0))+N(XLOOKUP($A277,RetirementPlan!$B:$B,RetirementPlan!$H:$H,0)))</f>
        <v/>
      </c>
      <c r="K277">
        <f>IF($A277="","",IF(NOT(ISBLANK(XLOOKUP($A277,RetirementPlan!$B:$B,RetirementPlan!$N:$N,""))),XLOOKUP($A277,RetirementPlan!$B:$B,RetirementPlan!$N:$N,""),LET(cid,$A277,c,FILTER(LocationPlan!$D:$D,LocationPlan!$C:$C=cid),p,FILTER(LocationPlan!$E:$E,LocationPlan!$C:$C=cid),IFERROR(INDEX(c,MATCH(MAX(p),p,0)),""))))</f>
        <v/>
      </c>
    </row>
    <row r="278">
      <c r="B278">
        <f>IF($A278="","",XLOOKUP($A278,Clients!$A:$A,Clients!$D:$D)&amp;" "&amp;XLOOKUP($A278,Clients!$A:$A,Clients!$E:$E))</f>
        <v/>
      </c>
      <c r="C278">
        <f>IF($A278="","",DATEDIF(XLOOKUP($A278,Clients!$A:$A,Clients!$F:$F),VAL_DATE,"Y"))</f>
        <v/>
      </c>
      <c r="D278">
        <f>IF(OR($A278="",E278=""),"",E278-C278)</f>
        <v/>
      </c>
      <c r="E278">
        <f>IF($A278="","",XLOOKUP($A278,RetirementPlan!$B:$B,RetirementPlan!$C:$C,""))</f>
        <v/>
      </c>
      <c r="F278" s="9">
        <f>IF(OR($A278="",D278=""),"",FV(IF(IFERROR(XLOOKUP($A278,RetirementPlan!$B:$B,RetirementPlan!$K:$K,""),"")="",GROWTH,IFERROR(XLOOKUP($A278,RetirementPlan!$B:$B,RetirementPlan!$K:$K,""),"")),D278,-N(XLOOKUP($A278,RetirementPlan!$B:$B,RetirementPlan!$I:$I,0)),-SUMIFS(Assets!$J:$J,Assets!$B:$B,$A278,Assets!$R:$R,"Yes"),0))</f>
        <v/>
      </c>
      <c r="G278" s="9">
        <f>IF(OR($A278="",I278=""),"",MAX(0,(I278-J278)/IF(IFERROR(XLOOKUP($A278,RetirementPlan!$B:$B,RetirementPlan!$M:$M,""),"")="",SWR,IFERROR(XLOOKUP($A278,RetirementPlan!$B:$B,RetirementPlan!$M:$M,""),""))))</f>
        <v/>
      </c>
      <c r="H278" s="9">
        <f>IF(OR($A278="",F278="",G278=""),"",F278-G278)</f>
        <v/>
      </c>
      <c r="I278" s="9">
        <f>IF($A278="","",XLOOKUP($A278,RetirementPlan!$B:$B,RetirementPlan!$E:$E,""))</f>
        <v/>
      </c>
      <c r="J278" s="9">
        <f>IF($A278="","",N(XLOOKUP($A278,RetirementPlan!$B:$B,RetirementPlan!$G:$G,0))+N(XLOOKUP($A278,RetirementPlan!$B:$B,RetirementPlan!$H:$H,0)))</f>
        <v/>
      </c>
      <c r="K278">
        <f>IF($A278="","",IF(NOT(ISBLANK(XLOOKUP($A278,RetirementPlan!$B:$B,RetirementPlan!$N:$N,""))),XLOOKUP($A278,RetirementPlan!$B:$B,RetirementPlan!$N:$N,""),LET(cid,$A278,c,FILTER(LocationPlan!$D:$D,LocationPlan!$C:$C=cid),p,FILTER(LocationPlan!$E:$E,LocationPlan!$C:$C=cid),IFERROR(INDEX(c,MATCH(MAX(p),p,0)),""))))</f>
        <v/>
      </c>
    </row>
    <row r="279">
      <c r="B279">
        <f>IF($A279="","",XLOOKUP($A279,Clients!$A:$A,Clients!$D:$D)&amp;" "&amp;XLOOKUP($A279,Clients!$A:$A,Clients!$E:$E))</f>
        <v/>
      </c>
      <c r="C279">
        <f>IF($A279="","",DATEDIF(XLOOKUP($A279,Clients!$A:$A,Clients!$F:$F),VAL_DATE,"Y"))</f>
        <v/>
      </c>
      <c r="D279">
        <f>IF(OR($A279="",E279=""),"",E279-C279)</f>
        <v/>
      </c>
      <c r="E279">
        <f>IF($A279="","",XLOOKUP($A279,RetirementPlan!$B:$B,RetirementPlan!$C:$C,""))</f>
        <v/>
      </c>
      <c r="F279" s="9">
        <f>IF(OR($A279="",D279=""),"",FV(IF(IFERROR(XLOOKUP($A279,RetirementPlan!$B:$B,RetirementPlan!$K:$K,""),"")="",GROWTH,IFERROR(XLOOKUP($A279,RetirementPlan!$B:$B,RetirementPlan!$K:$K,""),"")),D279,-N(XLOOKUP($A279,RetirementPlan!$B:$B,RetirementPlan!$I:$I,0)),-SUMIFS(Assets!$J:$J,Assets!$B:$B,$A279,Assets!$R:$R,"Yes"),0))</f>
        <v/>
      </c>
      <c r="G279" s="9">
        <f>IF(OR($A279="",I279=""),"",MAX(0,(I279-J279)/IF(IFERROR(XLOOKUP($A279,RetirementPlan!$B:$B,RetirementPlan!$M:$M,""),"")="",SWR,IFERROR(XLOOKUP($A279,RetirementPlan!$B:$B,RetirementPlan!$M:$M,""),""))))</f>
        <v/>
      </c>
      <c r="H279" s="9">
        <f>IF(OR($A279="",F279="",G279=""),"",F279-G279)</f>
        <v/>
      </c>
      <c r="I279" s="9">
        <f>IF($A279="","",XLOOKUP($A279,RetirementPlan!$B:$B,RetirementPlan!$E:$E,""))</f>
        <v/>
      </c>
      <c r="J279" s="9">
        <f>IF($A279="","",N(XLOOKUP($A279,RetirementPlan!$B:$B,RetirementPlan!$G:$G,0))+N(XLOOKUP($A279,RetirementPlan!$B:$B,RetirementPlan!$H:$H,0)))</f>
        <v/>
      </c>
      <c r="K279">
        <f>IF($A279="","",IF(NOT(ISBLANK(XLOOKUP($A279,RetirementPlan!$B:$B,RetirementPlan!$N:$N,""))),XLOOKUP($A279,RetirementPlan!$B:$B,RetirementPlan!$N:$N,""),LET(cid,$A279,c,FILTER(LocationPlan!$D:$D,LocationPlan!$C:$C=cid),p,FILTER(LocationPlan!$E:$E,LocationPlan!$C:$C=cid),IFERROR(INDEX(c,MATCH(MAX(p),p,0)),""))))</f>
        <v/>
      </c>
    </row>
    <row r="280">
      <c r="B280">
        <f>IF($A280="","",XLOOKUP($A280,Clients!$A:$A,Clients!$D:$D)&amp;" "&amp;XLOOKUP($A280,Clients!$A:$A,Clients!$E:$E))</f>
        <v/>
      </c>
      <c r="C280">
        <f>IF($A280="","",DATEDIF(XLOOKUP($A280,Clients!$A:$A,Clients!$F:$F),VAL_DATE,"Y"))</f>
        <v/>
      </c>
      <c r="D280">
        <f>IF(OR($A280="",E280=""),"",E280-C280)</f>
        <v/>
      </c>
      <c r="E280">
        <f>IF($A280="","",XLOOKUP($A280,RetirementPlan!$B:$B,RetirementPlan!$C:$C,""))</f>
        <v/>
      </c>
      <c r="F280" s="9">
        <f>IF(OR($A280="",D280=""),"",FV(IF(IFERROR(XLOOKUP($A280,RetirementPlan!$B:$B,RetirementPlan!$K:$K,""),"")="",GROWTH,IFERROR(XLOOKUP($A280,RetirementPlan!$B:$B,RetirementPlan!$K:$K,""),"")),D280,-N(XLOOKUP($A280,RetirementPlan!$B:$B,RetirementPlan!$I:$I,0)),-SUMIFS(Assets!$J:$J,Assets!$B:$B,$A280,Assets!$R:$R,"Yes"),0))</f>
        <v/>
      </c>
      <c r="G280" s="9">
        <f>IF(OR($A280="",I280=""),"",MAX(0,(I280-J280)/IF(IFERROR(XLOOKUP($A280,RetirementPlan!$B:$B,RetirementPlan!$M:$M,""),"")="",SWR,IFERROR(XLOOKUP($A280,RetirementPlan!$B:$B,RetirementPlan!$M:$M,""),""))))</f>
        <v/>
      </c>
      <c r="H280" s="9">
        <f>IF(OR($A280="",F280="",G280=""),"",F280-G280)</f>
        <v/>
      </c>
      <c r="I280" s="9">
        <f>IF($A280="","",XLOOKUP($A280,RetirementPlan!$B:$B,RetirementPlan!$E:$E,""))</f>
        <v/>
      </c>
      <c r="J280" s="9">
        <f>IF($A280="","",N(XLOOKUP($A280,RetirementPlan!$B:$B,RetirementPlan!$G:$G,0))+N(XLOOKUP($A280,RetirementPlan!$B:$B,RetirementPlan!$H:$H,0)))</f>
        <v/>
      </c>
      <c r="K280">
        <f>IF($A280="","",IF(NOT(ISBLANK(XLOOKUP($A280,RetirementPlan!$B:$B,RetirementPlan!$N:$N,""))),XLOOKUP($A280,RetirementPlan!$B:$B,RetirementPlan!$N:$N,""),LET(cid,$A280,c,FILTER(LocationPlan!$D:$D,LocationPlan!$C:$C=cid),p,FILTER(LocationPlan!$E:$E,LocationPlan!$C:$C=cid),IFERROR(INDEX(c,MATCH(MAX(p),p,0)),""))))</f>
        <v/>
      </c>
    </row>
    <row r="281">
      <c r="B281">
        <f>IF($A281="","",XLOOKUP($A281,Clients!$A:$A,Clients!$D:$D)&amp;" "&amp;XLOOKUP($A281,Clients!$A:$A,Clients!$E:$E))</f>
        <v/>
      </c>
      <c r="C281">
        <f>IF($A281="","",DATEDIF(XLOOKUP($A281,Clients!$A:$A,Clients!$F:$F),VAL_DATE,"Y"))</f>
        <v/>
      </c>
      <c r="D281">
        <f>IF(OR($A281="",E281=""),"",E281-C281)</f>
        <v/>
      </c>
      <c r="E281">
        <f>IF($A281="","",XLOOKUP($A281,RetirementPlan!$B:$B,RetirementPlan!$C:$C,""))</f>
        <v/>
      </c>
      <c r="F281" s="9">
        <f>IF(OR($A281="",D281=""),"",FV(IF(IFERROR(XLOOKUP($A281,RetirementPlan!$B:$B,RetirementPlan!$K:$K,""),"")="",GROWTH,IFERROR(XLOOKUP($A281,RetirementPlan!$B:$B,RetirementPlan!$K:$K,""),"")),D281,-N(XLOOKUP($A281,RetirementPlan!$B:$B,RetirementPlan!$I:$I,0)),-SUMIFS(Assets!$J:$J,Assets!$B:$B,$A281,Assets!$R:$R,"Yes"),0))</f>
        <v/>
      </c>
      <c r="G281" s="9">
        <f>IF(OR($A281="",I281=""),"",MAX(0,(I281-J281)/IF(IFERROR(XLOOKUP($A281,RetirementPlan!$B:$B,RetirementPlan!$M:$M,""),"")="",SWR,IFERROR(XLOOKUP($A281,RetirementPlan!$B:$B,RetirementPlan!$M:$M,""),""))))</f>
        <v/>
      </c>
      <c r="H281" s="9">
        <f>IF(OR($A281="",F281="",G281=""),"",F281-G281)</f>
        <v/>
      </c>
      <c r="I281" s="9">
        <f>IF($A281="","",XLOOKUP($A281,RetirementPlan!$B:$B,RetirementPlan!$E:$E,""))</f>
        <v/>
      </c>
      <c r="J281" s="9">
        <f>IF($A281="","",N(XLOOKUP($A281,RetirementPlan!$B:$B,RetirementPlan!$G:$G,0))+N(XLOOKUP($A281,RetirementPlan!$B:$B,RetirementPlan!$H:$H,0)))</f>
        <v/>
      </c>
      <c r="K281">
        <f>IF($A281="","",IF(NOT(ISBLANK(XLOOKUP($A281,RetirementPlan!$B:$B,RetirementPlan!$N:$N,""))),XLOOKUP($A281,RetirementPlan!$B:$B,RetirementPlan!$N:$N,""),LET(cid,$A281,c,FILTER(LocationPlan!$D:$D,LocationPlan!$C:$C=cid),p,FILTER(LocationPlan!$E:$E,LocationPlan!$C:$C=cid),IFERROR(INDEX(c,MATCH(MAX(p),p,0)),""))))</f>
        <v/>
      </c>
    </row>
    <row r="282">
      <c r="B282">
        <f>IF($A282="","",XLOOKUP($A282,Clients!$A:$A,Clients!$D:$D)&amp;" "&amp;XLOOKUP($A282,Clients!$A:$A,Clients!$E:$E))</f>
        <v/>
      </c>
      <c r="C282">
        <f>IF($A282="","",DATEDIF(XLOOKUP($A282,Clients!$A:$A,Clients!$F:$F),VAL_DATE,"Y"))</f>
        <v/>
      </c>
      <c r="D282">
        <f>IF(OR($A282="",E282=""),"",E282-C282)</f>
        <v/>
      </c>
      <c r="E282">
        <f>IF($A282="","",XLOOKUP($A282,RetirementPlan!$B:$B,RetirementPlan!$C:$C,""))</f>
        <v/>
      </c>
      <c r="F282" s="9">
        <f>IF(OR($A282="",D282=""),"",FV(IF(IFERROR(XLOOKUP($A282,RetirementPlan!$B:$B,RetirementPlan!$K:$K,""),"")="",GROWTH,IFERROR(XLOOKUP($A282,RetirementPlan!$B:$B,RetirementPlan!$K:$K,""),"")),D282,-N(XLOOKUP($A282,RetirementPlan!$B:$B,RetirementPlan!$I:$I,0)),-SUMIFS(Assets!$J:$J,Assets!$B:$B,$A282,Assets!$R:$R,"Yes"),0))</f>
        <v/>
      </c>
      <c r="G282" s="9">
        <f>IF(OR($A282="",I282=""),"",MAX(0,(I282-J282)/IF(IFERROR(XLOOKUP($A282,RetirementPlan!$B:$B,RetirementPlan!$M:$M,""),"")="",SWR,IFERROR(XLOOKUP($A282,RetirementPlan!$B:$B,RetirementPlan!$M:$M,""),""))))</f>
        <v/>
      </c>
      <c r="H282" s="9">
        <f>IF(OR($A282="",F282="",G282=""),"",F282-G282)</f>
        <v/>
      </c>
      <c r="I282" s="9">
        <f>IF($A282="","",XLOOKUP($A282,RetirementPlan!$B:$B,RetirementPlan!$E:$E,""))</f>
        <v/>
      </c>
      <c r="J282" s="9">
        <f>IF($A282="","",N(XLOOKUP($A282,RetirementPlan!$B:$B,RetirementPlan!$G:$G,0))+N(XLOOKUP($A282,RetirementPlan!$B:$B,RetirementPlan!$H:$H,0)))</f>
        <v/>
      </c>
      <c r="K282">
        <f>IF($A282="","",IF(NOT(ISBLANK(XLOOKUP($A282,RetirementPlan!$B:$B,RetirementPlan!$N:$N,""))),XLOOKUP($A282,RetirementPlan!$B:$B,RetirementPlan!$N:$N,""),LET(cid,$A282,c,FILTER(LocationPlan!$D:$D,LocationPlan!$C:$C=cid),p,FILTER(LocationPlan!$E:$E,LocationPlan!$C:$C=cid),IFERROR(INDEX(c,MATCH(MAX(p),p,0)),""))))</f>
        <v/>
      </c>
    </row>
    <row r="283">
      <c r="B283">
        <f>IF($A283="","",XLOOKUP($A283,Clients!$A:$A,Clients!$D:$D)&amp;" "&amp;XLOOKUP($A283,Clients!$A:$A,Clients!$E:$E))</f>
        <v/>
      </c>
      <c r="C283">
        <f>IF($A283="","",DATEDIF(XLOOKUP($A283,Clients!$A:$A,Clients!$F:$F),VAL_DATE,"Y"))</f>
        <v/>
      </c>
      <c r="D283">
        <f>IF(OR($A283="",E283=""),"",E283-C283)</f>
        <v/>
      </c>
      <c r="E283">
        <f>IF($A283="","",XLOOKUP($A283,RetirementPlan!$B:$B,RetirementPlan!$C:$C,""))</f>
        <v/>
      </c>
      <c r="F283" s="9">
        <f>IF(OR($A283="",D283=""),"",FV(IF(IFERROR(XLOOKUP($A283,RetirementPlan!$B:$B,RetirementPlan!$K:$K,""),"")="",GROWTH,IFERROR(XLOOKUP($A283,RetirementPlan!$B:$B,RetirementPlan!$K:$K,""),"")),D283,-N(XLOOKUP($A283,RetirementPlan!$B:$B,RetirementPlan!$I:$I,0)),-SUMIFS(Assets!$J:$J,Assets!$B:$B,$A283,Assets!$R:$R,"Yes"),0))</f>
        <v/>
      </c>
      <c r="G283" s="9">
        <f>IF(OR($A283="",I283=""),"",MAX(0,(I283-J283)/IF(IFERROR(XLOOKUP($A283,RetirementPlan!$B:$B,RetirementPlan!$M:$M,""),"")="",SWR,IFERROR(XLOOKUP($A283,RetirementPlan!$B:$B,RetirementPlan!$M:$M,""),""))))</f>
        <v/>
      </c>
      <c r="H283" s="9">
        <f>IF(OR($A283="",F283="",G283=""),"",F283-G283)</f>
        <v/>
      </c>
      <c r="I283" s="9">
        <f>IF($A283="","",XLOOKUP($A283,RetirementPlan!$B:$B,RetirementPlan!$E:$E,""))</f>
        <v/>
      </c>
      <c r="J283" s="9">
        <f>IF($A283="","",N(XLOOKUP($A283,RetirementPlan!$B:$B,RetirementPlan!$G:$G,0))+N(XLOOKUP($A283,RetirementPlan!$B:$B,RetirementPlan!$H:$H,0)))</f>
        <v/>
      </c>
      <c r="K283">
        <f>IF($A283="","",IF(NOT(ISBLANK(XLOOKUP($A283,RetirementPlan!$B:$B,RetirementPlan!$N:$N,""))),XLOOKUP($A283,RetirementPlan!$B:$B,RetirementPlan!$N:$N,""),LET(cid,$A283,c,FILTER(LocationPlan!$D:$D,LocationPlan!$C:$C=cid),p,FILTER(LocationPlan!$E:$E,LocationPlan!$C:$C=cid),IFERROR(INDEX(c,MATCH(MAX(p),p,0)),""))))</f>
        <v/>
      </c>
    </row>
    <row r="284">
      <c r="B284">
        <f>IF($A284="","",XLOOKUP($A284,Clients!$A:$A,Clients!$D:$D)&amp;" "&amp;XLOOKUP($A284,Clients!$A:$A,Clients!$E:$E))</f>
        <v/>
      </c>
      <c r="C284">
        <f>IF($A284="","",DATEDIF(XLOOKUP($A284,Clients!$A:$A,Clients!$F:$F),VAL_DATE,"Y"))</f>
        <v/>
      </c>
      <c r="D284">
        <f>IF(OR($A284="",E284=""),"",E284-C284)</f>
        <v/>
      </c>
      <c r="E284">
        <f>IF($A284="","",XLOOKUP($A284,RetirementPlan!$B:$B,RetirementPlan!$C:$C,""))</f>
        <v/>
      </c>
      <c r="F284" s="9">
        <f>IF(OR($A284="",D284=""),"",FV(IF(IFERROR(XLOOKUP($A284,RetirementPlan!$B:$B,RetirementPlan!$K:$K,""),"")="",GROWTH,IFERROR(XLOOKUP($A284,RetirementPlan!$B:$B,RetirementPlan!$K:$K,""),"")),D284,-N(XLOOKUP($A284,RetirementPlan!$B:$B,RetirementPlan!$I:$I,0)),-SUMIFS(Assets!$J:$J,Assets!$B:$B,$A284,Assets!$R:$R,"Yes"),0))</f>
        <v/>
      </c>
      <c r="G284" s="9">
        <f>IF(OR($A284="",I284=""),"",MAX(0,(I284-J284)/IF(IFERROR(XLOOKUP($A284,RetirementPlan!$B:$B,RetirementPlan!$M:$M,""),"")="",SWR,IFERROR(XLOOKUP($A284,RetirementPlan!$B:$B,RetirementPlan!$M:$M,""),""))))</f>
        <v/>
      </c>
      <c r="H284" s="9">
        <f>IF(OR($A284="",F284="",G284=""),"",F284-G284)</f>
        <v/>
      </c>
      <c r="I284" s="9">
        <f>IF($A284="","",XLOOKUP($A284,RetirementPlan!$B:$B,RetirementPlan!$E:$E,""))</f>
        <v/>
      </c>
      <c r="J284" s="9">
        <f>IF($A284="","",N(XLOOKUP($A284,RetirementPlan!$B:$B,RetirementPlan!$G:$G,0))+N(XLOOKUP($A284,RetirementPlan!$B:$B,RetirementPlan!$H:$H,0)))</f>
        <v/>
      </c>
      <c r="K284">
        <f>IF($A284="","",IF(NOT(ISBLANK(XLOOKUP($A284,RetirementPlan!$B:$B,RetirementPlan!$N:$N,""))),XLOOKUP($A284,RetirementPlan!$B:$B,RetirementPlan!$N:$N,""),LET(cid,$A284,c,FILTER(LocationPlan!$D:$D,LocationPlan!$C:$C=cid),p,FILTER(LocationPlan!$E:$E,LocationPlan!$C:$C=cid),IFERROR(INDEX(c,MATCH(MAX(p),p,0)),""))))</f>
        <v/>
      </c>
    </row>
    <row r="285">
      <c r="B285">
        <f>IF($A285="","",XLOOKUP($A285,Clients!$A:$A,Clients!$D:$D)&amp;" "&amp;XLOOKUP($A285,Clients!$A:$A,Clients!$E:$E))</f>
        <v/>
      </c>
      <c r="C285">
        <f>IF($A285="","",DATEDIF(XLOOKUP($A285,Clients!$A:$A,Clients!$F:$F),VAL_DATE,"Y"))</f>
        <v/>
      </c>
      <c r="D285">
        <f>IF(OR($A285="",E285=""),"",E285-C285)</f>
        <v/>
      </c>
      <c r="E285">
        <f>IF($A285="","",XLOOKUP($A285,RetirementPlan!$B:$B,RetirementPlan!$C:$C,""))</f>
        <v/>
      </c>
      <c r="F285" s="9">
        <f>IF(OR($A285="",D285=""),"",FV(IF(IFERROR(XLOOKUP($A285,RetirementPlan!$B:$B,RetirementPlan!$K:$K,""),"")="",GROWTH,IFERROR(XLOOKUP($A285,RetirementPlan!$B:$B,RetirementPlan!$K:$K,""),"")),D285,-N(XLOOKUP($A285,RetirementPlan!$B:$B,RetirementPlan!$I:$I,0)),-SUMIFS(Assets!$J:$J,Assets!$B:$B,$A285,Assets!$R:$R,"Yes"),0))</f>
        <v/>
      </c>
      <c r="G285" s="9">
        <f>IF(OR($A285="",I285=""),"",MAX(0,(I285-J285)/IF(IFERROR(XLOOKUP($A285,RetirementPlan!$B:$B,RetirementPlan!$M:$M,""),"")="",SWR,IFERROR(XLOOKUP($A285,RetirementPlan!$B:$B,RetirementPlan!$M:$M,""),""))))</f>
        <v/>
      </c>
      <c r="H285" s="9">
        <f>IF(OR($A285="",F285="",G285=""),"",F285-G285)</f>
        <v/>
      </c>
      <c r="I285" s="9">
        <f>IF($A285="","",XLOOKUP($A285,RetirementPlan!$B:$B,RetirementPlan!$E:$E,""))</f>
        <v/>
      </c>
      <c r="J285" s="9">
        <f>IF($A285="","",N(XLOOKUP($A285,RetirementPlan!$B:$B,RetirementPlan!$G:$G,0))+N(XLOOKUP($A285,RetirementPlan!$B:$B,RetirementPlan!$H:$H,0)))</f>
        <v/>
      </c>
      <c r="K285">
        <f>IF($A285="","",IF(NOT(ISBLANK(XLOOKUP($A285,RetirementPlan!$B:$B,RetirementPlan!$N:$N,""))),XLOOKUP($A285,RetirementPlan!$B:$B,RetirementPlan!$N:$N,""),LET(cid,$A285,c,FILTER(LocationPlan!$D:$D,LocationPlan!$C:$C=cid),p,FILTER(LocationPlan!$E:$E,LocationPlan!$C:$C=cid),IFERROR(INDEX(c,MATCH(MAX(p),p,0)),""))))</f>
        <v/>
      </c>
    </row>
    <row r="286">
      <c r="B286">
        <f>IF($A286="","",XLOOKUP($A286,Clients!$A:$A,Clients!$D:$D)&amp;" "&amp;XLOOKUP($A286,Clients!$A:$A,Clients!$E:$E))</f>
        <v/>
      </c>
      <c r="C286">
        <f>IF($A286="","",DATEDIF(XLOOKUP($A286,Clients!$A:$A,Clients!$F:$F),VAL_DATE,"Y"))</f>
        <v/>
      </c>
      <c r="D286">
        <f>IF(OR($A286="",E286=""),"",E286-C286)</f>
        <v/>
      </c>
      <c r="E286">
        <f>IF($A286="","",XLOOKUP($A286,RetirementPlan!$B:$B,RetirementPlan!$C:$C,""))</f>
        <v/>
      </c>
      <c r="F286" s="9">
        <f>IF(OR($A286="",D286=""),"",FV(IF(IFERROR(XLOOKUP($A286,RetirementPlan!$B:$B,RetirementPlan!$K:$K,""),"")="",GROWTH,IFERROR(XLOOKUP($A286,RetirementPlan!$B:$B,RetirementPlan!$K:$K,""),"")),D286,-N(XLOOKUP($A286,RetirementPlan!$B:$B,RetirementPlan!$I:$I,0)),-SUMIFS(Assets!$J:$J,Assets!$B:$B,$A286,Assets!$R:$R,"Yes"),0))</f>
        <v/>
      </c>
      <c r="G286" s="9">
        <f>IF(OR($A286="",I286=""),"",MAX(0,(I286-J286)/IF(IFERROR(XLOOKUP($A286,RetirementPlan!$B:$B,RetirementPlan!$M:$M,""),"")="",SWR,IFERROR(XLOOKUP($A286,RetirementPlan!$B:$B,RetirementPlan!$M:$M,""),""))))</f>
        <v/>
      </c>
      <c r="H286" s="9">
        <f>IF(OR($A286="",F286="",G286=""),"",F286-G286)</f>
        <v/>
      </c>
      <c r="I286" s="9">
        <f>IF($A286="","",XLOOKUP($A286,RetirementPlan!$B:$B,RetirementPlan!$E:$E,""))</f>
        <v/>
      </c>
      <c r="J286" s="9">
        <f>IF($A286="","",N(XLOOKUP($A286,RetirementPlan!$B:$B,RetirementPlan!$G:$G,0))+N(XLOOKUP($A286,RetirementPlan!$B:$B,RetirementPlan!$H:$H,0)))</f>
        <v/>
      </c>
      <c r="K286">
        <f>IF($A286="","",IF(NOT(ISBLANK(XLOOKUP($A286,RetirementPlan!$B:$B,RetirementPlan!$N:$N,""))),XLOOKUP($A286,RetirementPlan!$B:$B,RetirementPlan!$N:$N,""),LET(cid,$A286,c,FILTER(LocationPlan!$D:$D,LocationPlan!$C:$C=cid),p,FILTER(LocationPlan!$E:$E,LocationPlan!$C:$C=cid),IFERROR(INDEX(c,MATCH(MAX(p),p,0)),""))))</f>
        <v/>
      </c>
    </row>
    <row r="287">
      <c r="B287">
        <f>IF($A287="","",XLOOKUP($A287,Clients!$A:$A,Clients!$D:$D)&amp;" "&amp;XLOOKUP($A287,Clients!$A:$A,Clients!$E:$E))</f>
        <v/>
      </c>
      <c r="C287">
        <f>IF($A287="","",DATEDIF(XLOOKUP($A287,Clients!$A:$A,Clients!$F:$F),VAL_DATE,"Y"))</f>
        <v/>
      </c>
      <c r="D287">
        <f>IF(OR($A287="",E287=""),"",E287-C287)</f>
        <v/>
      </c>
      <c r="E287">
        <f>IF($A287="","",XLOOKUP($A287,RetirementPlan!$B:$B,RetirementPlan!$C:$C,""))</f>
        <v/>
      </c>
      <c r="F287" s="9">
        <f>IF(OR($A287="",D287=""),"",FV(IF(IFERROR(XLOOKUP($A287,RetirementPlan!$B:$B,RetirementPlan!$K:$K,""),"")="",GROWTH,IFERROR(XLOOKUP($A287,RetirementPlan!$B:$B,RetirementPlan!$K:$K,""),"")),D287,-N(XLOOKUP($A287,RetirementPlan!$B:$B,RetirementPlan!$I:$I,0)),-SUMIFS(Assets!$J:$J,Assets!$B:$B,$A287,Assets!$R:$R,"Yes"),0))</f>
        <v/>
      </c>
      <c r="G287" s="9">
        <f>IF(OR($A287="",I287=""),"",MAX(0,(I287-J287)/IF(IFERROR(XLOOKUP($A287,RetirementPlan!$B:$B,RetirementPlan!$M:$M,""),"")="",SWR,IFERROR(XLOOKUP($A287,RetirementPlan!$B:$B,RetirementPlan!$M:$M,""),""))))</f>
        <v/>
      </c>
      <c r="H287" s="9">
        <f>IF(OR($A287="",F287="",G287=""),"",F287-G287)</f>
        <v/>
      </c>
      <c r="I287" s="9">
        <f>IF($A287="","",XLOOKUP($A287,RetirementPlan!$B:$B,RetirementPlan!$E:$E,""))</f>
        <v/>
      </c>
      <c r="J287" s="9">
        <f>IF($A287="","",N(XLOOKUP($A287,RetirementPlan!$B:$B,RetirementPlan!$G:$G,0))+N(XLOOKUP($A287,RetirementPlan!$B:$B,RetirementPlan!$H:$H,0)))</f>
        <v/>
      </c>
      <c r="K287">
        <f>IF($A287="","",IF(NOT(ISBLANK(XLOOKUP($A287,RetirementPlan!$B:$B,RetirementPlan!$N:$N,""))),XLOOKUP($A287,RetirementPlan!$B:$B,RetirementPlan!$N:$N,""),LET(cid,$A287,c,FILTER(LocationPlan!$D:$D,LocationPlan!$C:$C=cid),p,FILTER(LocationPlan!$E:$E,LocationPlan!$C:$C=cid),IFERROR(INDEX(c,MATCH(MAX(p),p,0)),""))))</f>
        <v/>
      </c>
    </row>
    <row r="288">
      <c r="B288">
        <f>IF($A288="","",XLOOKUP($A288,Clients!$A:$A,Clients!$D:$D)&amp;" "&amp;XLOOKUP($A288,Clients!$A:$A,Clients!$E:$E))</f>
        <v/>
      </c>
      <c r="C288">
        <f>IF($A288="","",DATEDIF(XLOOKUP($A288,Clients!$A:$A,Clients!$F:$F),VAL_DATE,"Y"))</f>
        <v/>
      </c>
      <c r="D288">
        <f>IF(OR($A288="",E288=""),"",E288-C288)</f>
        <v/>
      </c>
      <c r="E288">
        <f>IF($A288="","",XLOOKUP($A288,RetirementPlan!$B:$B,RetirementPlan!$C:$C,""))</f>
        <v/>
      </c>
      <c r="F288" s="9">
        <f>IF(OR($A288="",D288=""),"",FV(IF(IFERROR(XLOOKUP($A288,RetirementPlan!$B:$B,RetirementPlan!$K:$K,""),"")="",GROWTH,IFERROR(XLOOKUP($A288,RetirementPlan!$B:$B,RetirementPlan!$K:$K,""),"")),D288,-N(XLOOKUP($A288,RetirementPlan!$B:$B,RetirementPlan!$I:$I,0)),-SUMIFS(Assets!$J:$J,Assets!$B:$B,$A288,Assets!$R:$R,"Yes"),0))</f>
        <v/>
      </c>
      <c r="G288" s="9">
        <f>IF(OR($A288="",I288=""),"",MAX(0,(I288-J288)/IF(IFERROR(XLOOKUP($A288,RetirementPlan!$B:$B,RetirementPlan!$M:$M,""),"")="",SWR,IFERROR(XLOOKUP($A288,RetirementPlan!$B:$B,RetirementPlan!$M:$M,""),""))))</f>
        <v/>
      </c>
      <c r="H288" s="9">
        <f>IF(OR($A288="",F288="",G288=""),"",F288-G288)</f>
        <v/>
      </c>
      <c r="I288" s="9">
        <f>IF($A288="","",XLOOKUP($A288,RetirementPlan!$B:$B,RetirementPlan!$E:$E,""))</f>
        <v/>
      </c>
      <c r="J288" s="9">
        <f>IF($A288="","",N(XLOOKUP($A288,RetirementPlan!$B:$B,RetirementPlan!$G:$G,0))+N(XLOOKUP($A288,RetirementPlan!$B:$B,RetirementPlan!$H:$H,0)))</f>
        <v/>
      </c>
      <c r="K288">
        <f>IF($A288="","",IF(NOT(ISBLANK(XLOOKUP($A288,RetirementPlan!$B:$B,RetirementPlan!$N:$N,""))),XLOOKUP($A288,RetirementPlan!$B:$B,RetirementPlan!$N:$N,""),LET(cid,$A288,c,FILTER(LocationPlan!$D:$D,LocationPlan!$C:$C=cid),p,FILTER(LocationPlan!$E:$E,LocationPlan!$C:$C=cid),IFERROR(INDEX(c,MATCH(MAX(p),p,0)),""))))</f>
        <v/>
      </c>
    </row>
    <row r="289">
      <c r="B289">
        <f>IF($A289="","",XLOOKUP($A289,Clients!$A:$A,Clients!$D:$D)&amp;" "&amp;XLOOKUP($A289,Clients!$A:$A,Clients!$E:$E))</f>
        <v/>
      </c>
      <c r="C289">
        <f>IF($A289="","",DATEDIF(XLOOKUP($A289,Clients!$A:$A,Clients!$F:$F),VAL_DATE,"Y"))</f>
        <v/>
      </c>
      <c r="D289">
        <f>IF(OR($A289="",E289=""),"",E289-C289)</f>
        <v/>
      </c>
      <c r="E289">
        <f>IF($A289="","",XLOOKUP($A289,RetirementPlan!$B:$B,RetirementPlan!$C:$C,""))</f>
        <v/>
      </c>
      <c r="F289" s="9">
        <f>IF(OR($A289="",D289=""),"",FV(IF(IFERROR(XLOOKUP($A289,RetirementPlan!$B:$B,RetirementPlan!$K:$K,""),"")="",GROWTH,IFERROR(XLOOKUP($A289,RetirementPlan!$B:$B,RetirementPlan!$K:$K,""),"")),D289,-N(XLOOKUP($A289,RetirementPlan!$B:$B,RetirementPlan!$I:$I,0)),-SUMIFS(Assets!$J:$J,Assets!$B:$B,$A289,Assets!$R:$R,"Yes"),0))</f>
        <v/>
      </c>
      <c r="G289" s="9">
        <f>IF(OR($A289="",I289=""),"",MAX(0,(I289-J289)/IF(IFERROR(XLOOKUP($A289,RetirementPlan!$B:$B,RetirementPlan!$M:$M,""),"")="",SWR,IFERROR(XLOOKUP($A289,RetirementPlan!$B:$B,RetirementPlan!$M:$M,""),""))))</f>
        <v/>
      </c>
      <c r="H289" s="9">
        <f>IF(OR($A289="",F289="",G289=""),"",F289-G289)</f>
        <v/>
      </c>
      <c r="I289" s="9">
        <f>IF($A289="","",XLOOKUP($A289,RetirementPlan!$B:$B,RetirementPlan!$E:$E,""))</f>
        <v/>
      </c>
      <c r="J289" s="9">
        <f>IF($A289="","",N(XLOOKUP($A289,RetirementPlan!$B:$B,RetirementPlan!$G:$G,0))+N(XLOOKUP($A289,RetirementPlan!$B:$B,RetirementPlan!$H:$H,0)))</f>
        <v/>
      </c>
      <c r="K289">
        <f>IF($A289="","",IF(NOT(ISBLANK(XLOOKUP($A289,RetirementPlan!$B:$B,RetirementPlan!$N:$N,""))),XLOOKUP($A289,RetirementPlan!$B:$B,RetirementPlan!$N:$N,""),LET(cid,$A289,c,FILTER(LocationPlan!$D:$D,LocationPlan!$C:$C=cid),p,FILTER(LocationPlan!$E:$E,LocationPlan!$C:$C=cid),IFERROR(INDEX(c,MATCH(MAX(p),p,0)),""))))</f>
        <v/>
      </c>
    </row>
    <row r="290">
      <c r="B290">
        <f>IF($A290="","",XLOOKUP($A290,Clients!$A:$A,Clients!$D:$D)&amp;" "&amp;XLOOKUP($A290,Clients!$A:$A,Clients!$E:$E))</f>
        <v/>
      </c>
      <c r="C290">
        <f>IF($A290="","",DATEDIF(XLOOKUP($A290,Clients!$A:$A,Clients!$F:$F),VAL_DATE,"Y"))</f>
        <v/>
      </c>
      <c r="D290">
        <f>IF(OR($A290="",E290=""),"",E290-C290)</f>
        <v/>
      </c>
      <c r="E290">
        <f>IF($A290="","",XLOOKUP($A290,RetirementPlan!$B:$B,RetirementPlan!$C:$C,""))</f>
        <v/>
      </c>
      <c r="F290" s="9">
        <f>IF(OR($A290="",D290=""),"",FV(IF(IFERROR(XLOOKUP($A290,RetirementPlan!$B:$B,RetirementPlan!$K:$K,""),"")="",GROWTH,IFERROR(XLOOKUP($A290,RetirementPlan!$B:$B,RetirementPlan!$K:$K,""),"")),D290,-N(XLOOKUP($A290,RetirementPlan!$B:$B,RetirementPlan!$I:$I,0)),-SUMIFS(Assets!$J:$J,Assets!$B:$B,$A290,Assets!$R:$R,"Yes"),0))</f>
        <v/>
      </c>
      <c r="G290" s="9">
        <f>IF(OR($A290="",I290=""),"",MAX(0,(I290-J290)/IF(IFERROR(XLOOKUP($A290,RetirementPlan!$B:$B,RetirementPlan!$M:$M,""),"")="",SWR,IFERROR(XLOOKUP($A290,RetirementPlan!$B:$B,RetirementPlan!$M:$M,""),""))))</f>
        <v/>
      </c>
      <c r="H290" s="9">
        <f>IF(OR($A290="",F290="",G290=""),"",F290-G290)</f>
        <v/>
      </c>
      <c r="I290" s="9">
        <f>IF($A290="","",XLOOKUP($A290,RetirementPlan!$B:$B,RetirementPlan!$E:$E,""))</f>
        <v/>
      </c>
      <c r="J290" s="9">
        <f>IF($A290="","",N(XLOOKUP($A290,RetirementPlan!$B:$B,RetirementPlan!$G:$G,0))+N(XLOOKUP($A290,RetirementPlan!$B:$B,RetirementPlan!$H:$H,0)))</f>
        <v/>
      </c>
      <c r="K290">
        <f>IF($A290="","",IF(NOT(ISBLANK(XLOOKUP($A290,RetirementPlan!$B:$B,RetirementPlan!$N:$N,""))),XLOOKUP($A290,RetirementPlan!$B:$B,RetirementPlan!$N:$N,""),LET(cid,$A290,c,FILTER(LocationPlan!$D:$D,LocationPlan!$C:$C=cid),p,FILTER(LocationPlan!$E:$E,LocationPlan!$C:$C=cid),IFERROR(INDEX(c,MATCH(MAX(p),p,0)),""))))</f>
        <v/>
      </c>
    </row>
    <row r="291">
      <c r="B291">
        <f>IF($A291="","",XLOOKUP($A291,Clients!$A:$A,Clients!$D:$D)&amp;" "&amp;XLOOKUP($A291,Clients!$A:$A,Clients!$E:$E))</f>
        <v/>
      </c>
      <c r="C291">
        <f>IF($A291="","",DATEDIF(XLOOKUP($A291,Clients!$A:$A,Clients!$F:$F),VAL_DATE,"Y"))</f>
        <v/>
      </c>
      <c r="D291">
        <f>IF(OR($A291="",E291=""),"",E291-C291)</f>
        <v/>
      </c>
      <c r="E291">
        <f>IF($A291="","",XLOOKUP($A291,RetirementPlan!$B:$B,RetirementPlan!$C:$C,""))</f>
        <v/>
      </c>
      <c r="F291" s="9">
        <f>IF(OR($A291="",D291=""),"",FV(IF(IFERROR(XLOOKUP($A291,RetirementPlan!$B:$B,RetirementPlan!$K:$K,""),"")="",GROWTH,IFERROR(XLOOKUP($A291,RetirementPlan!$B:$B,RetirementPlan!$K:$K,""),"")),D291,-N(XLOOKUP($A291,RetirementPlan!$B:$B,RetirementPlan!$I:$I,0)),-SUMIFS(Assets!$J:$J,Assets!$B:$B,$A291,Assets!$R:$R,"Yes"),0))</f>
        <v/>
      </c>
      <c r="G291" s="9">
        <f>IF(OR($A291="",I291=""),"",MAX(0,(I291-J291)/IF(IFERROR(XLOOKUP($A291,RetirementPlan!$B:$B,RetirementPlan!$M:$M,""),"")="",SWR,IFERROR(XLOOKUP($A291,RetirementPlan!$B:$B,RetirementPlan!$M:$M,""),""))))</f>
        <v/>
      </c>
      <c r="H291" s="9">
        <f>IF(OR($A291="",F291="",G291=""),"",F291-G291)</f>
        <v/>
      </c>
      <c r="I291" s="9">
        <f>IF($A291="","",XLOOKUP($A291,RetirementPlan!$B:$B,RetirementPlan!$E:$E,""))</f>
        <v/>
      </c>
      <c r="J291" s="9">
        <f>IF($A291="","",N(XLOOKUP($A291,RetirementPlan!$B:$B,RetirementPlan!$G:$G,0))+N(XLOOKUP($A291,RetirementPlan!$B:$B,RetirementPlan!$H:$H,0)))</f>
        <v/>
      </c>
      <c r="K291">
        <f>IF($A291="","",IF(NOT(ISBLANK(XLOOKUP($A291,RetirementPlan!$B:$B,RetirementPlan!$N:$N,""))),XLOOKUP($A291,RetirementPlan!$B:$B,RetirementPlan!$N:$N,""),LET(cid,$A291,c,FILTER(LocationPlan!$D:$D,LocationPlan!$C:$C=cid),p,FILTER(LocationPlan!$E:$E,LocationPlan!$C:$C=cid),IFERROR(INDEX(c,MATCH(MAX(p),p,0)),""))))</f>
        <v/>
      </c>
    </row>
    <row r="292">
      <c r="B292">
        <f>IF($A292="","",XLOOKUP($A292,Clients!$A:$A,Clients!$D:$D)&amp;" "&amp;XLOOKUP($A292,Clients!$A:$A,Clients!$E:$E))</f>
        <v/>
      </c>
      <c r="C292">
        <f>IF($A292="","",DATEDIF(XLOOKUP($A292,Clients!$A:$A,Clients!$F:$F),VAL_DATE,"Y"))</f>
        <v/>
      </c>
      <c r="D292">
        <f>IF(OR($A292="",E292=""),"",E292-C292)</f>
        <v/>
      </c>
      <c r="E292">
        <f>IF($A292="","",XLOOKUP($A292,RetirementPlan!$B:$B,RetirementPlan!$C:$C,""))</f>
        <v/>
      </c>
      <c r="F292" s="9">
        <f>IF(OR($A292="",D292=""),"",FV(IF(IFERROR(XLOOKUP($A292,RetirementPlan!$B:$B,RetirementPlan!$K:$K,""),"")="",GROWTH,IFERROR(XLOOKUP($A292,RetirementPlan!$B:$B,RetirementPlan!$K:$K,""),"")),D292,-N(XLOOKUP($A292,RetirementPlan!$B:$B,RetirementPlan!$I:$I,0)),-SUMIFS(Assets!$J:$J,Assets!$B:$B,$A292,Assets!$R:$R,"Yes"),0))</f>
        <v/>
      </c>
      <c r="G292" s="9">
        <f>IF(OR($A292="",I292=""),"",MAX(0,(I292-J292)/IF(IFERROR(XLOOKUP($A292,RetirementPlan!$B:$B,RetirementPlan!$M:$M,""),"")="",SWR,IFERROR(XLOOKUP($A292,RetirementPlan!$B:$B,RetirementPlan!$M:$M,""),""))))</f>
        <v/>
      </c>
      <c r="H292" s="9">
        <f>IF(OR($A292="",F292="",G292=""),"",F292-G292)</f>
        <v/>
      </c>
      <c r="I292" s="9">
        <f>IF($A292="","",XLOOKUP($A292,RetirementPlan!$B:$B,RetirementPlan!$E:$E,""))</f>
        <v/>
      </c>
      <c r="J292" s="9">
        <f>IF($A292="","",N(XLOOKUP($A292,RetirementPlan!$B:$B,RetirementPlan!$G:$G,0))+N(XLOOKUP($A292,RetirementPlan!$B:$B,RetirementPlan!$H:$H,0)))</f>
        <v/>
      </c>
      <c r="K292">
        <f>IF($A292="","",IF(NOT(ISBLANK(XLOOKUP($A292,RetirementPlan!$B:$B,RetirementPlan!$N:$N,""))),XLOOKUP($A292,RetirementPlan!$B:$B,RetirementPlan!$N:$N,""),LET(cid,$A292,c,FILTER(LocationPlan!$D:$D,LocationPlan!$C:$C=cid),p,FILTER(LocationPlan!$E:$E,LocationPlan!$C:$C=cid),IFERROR(INDEX(c,MATCH(MAX(p),p,0)),""))))</f>
        <v/>
      </c>
    </row>
    <row r="293">
      <c r="B293">
        <f>IF($A293="","",XLOOKUP($A293,Clients!$A:$A,Clients!$D:$D)&amp;" "&amp;XLOOKUP($A293,Clients!$A:$A,Clients!$E:$E))</f>
        <v/>
      </c>
      <c r="C293">
        <f>IF($A293="","",DATEDIF(XLOOKUP($A293,Clients!$A:$A,Clients!$F:$F),VAL_DATE,"Y"))</f>
        <v/>
      </c>
      <c r="D293">
        <f>IF(OR($A293="",E293=""),"",E293-C293)</f>
        <v/>
      </c>
      <c r="E293">
        <f>IF($A293="","",XLOOKUP($A293,RetirementPlan!$B:$B,RetirementPlan!$C:$C,""))</f>
        <v/>
      </c>
      <c r="F293" s="9">
        <f>IF(OR($A293="",D293=""),"",FV(IF(IFERROR(XLOOKUP($A293,RetirementPlan!$B:$B,RetirementPlan!$K:$K,""),"")="",GROWTH,IFERROR(XLOOKUP($A293,RetirementPlan!$B:$B,RetirementPlan!$K:$K,""),"")),D293,-N(XLOOKUP($A293,RetirementPlan!$B:$B,RetirementPlan!$I:$I,0)),-SUMIFS(Assets!$J:$J,Assets!$B:$B,$A293,Assets!$R:$R,"Yes"),0))</f>
        <v/>
      </c>
      <c r="G293" s="9">
        <f>IF(OR($A293="",I293=""),"",MAX(0,(I293-J293)/IF(IFERROR(XLOOKUP($A293,RetirementPlan!$B:$B,RetirementPlan!$M:$M,""),"")="",SWR,IFERROR(XLOOKUP($A293,RetirementPlan!$B:$B,RetirementPlan!$M:$M,""),""))))</f>
        <v/>
      </c>
      <c r="H293" s="9">
        <f>IF(OR($A293="",F293="",G293=""),"",F293-G293)</f>
        <v/>
      </c>
      <c r="I293" s="9">
        <f>IF($A293="","",XLOOKUP($A293,RetirementPlan!$B:$B,RetirementPlan!$E:$E,""))</f>
        <v/>
      </c>
      <c r="J293" s="9">
        <f>IF($A293="","",N(XLOOKUP($A293,RetirementPlan!$B:$B,RetirementPlan!$G:$G,0))+N(XLOOKUP($A293,RetirementPlan!$B:$B,RetirementPlan!$H:$H,0)))</f>
        <v/>
      </c>
      <c r="K293">
        <f>IF($A293="","",IF(NOT(ISBLANK(XLOOKUP($A293,RetirementPlan!$B:$B,RetirementPlan!$N:$N,""))),XLOOKUP($A293,RetirementPlan!$B:$B,RetirementPlan!$N:$N,""),LET(cid,$A293,c,FILTER(LocationPlan!$D:$D,LocationPlan!$C:$C=cid),p,FILTER(LocationPlan!$E:$E,LocationPlan!$C:$C=cid),IFERROR(INDEX(c,MATCH(MAX(p),p,0)),""))))</f>
        <v/>
      </c>
    </row>
    <row r="294">
      <c r="B294">
        <f>IF($A294="","",XLOOKUP($A294,Clients!$A:$A,Clients!$D:$D)&amp;" "&amp;XLOOKUP($A294,Clients!$A:$A,Clients!$E:$E))</f>
        <v/>
      </c>
      <c r="C294">
        <f>IF($A294="","",DATEDIF(XLOOKUP($A294,Clients!$A:$A,Clients!$F:$F),VAL_DATE,"Y"))</f>
        <v/>
      </c>
      <c r="D294">
        <f>IF(OR($A294="",E294=""),"",E294-C294)</f>
        <v/>
      </c>
      <c r="E294">
        <f>IF($A294="","",XLOOKUP($A294,RetirementPlan!$B:$B,RetirementPlan!$C:$C,""))</f>
        <v/>
      </c>
      <c r="F294" s="9">
        <f>IF(OR($A294="",D294=""),"",FV(IF(IFERROR(XLOOKUP($A294,RetirementPlan!$B:$B,RetirementPlan!$K:$K,""),"")="",GROWTH,IFERROR(XLOOKUP($A294,RetirementPlan!$B:$B,RetirementPlan!$K:$K,""),"")),D294,-N(XLOOKUP($A294,RetirementPlan!$B:$B,RetirementPlan!$I:$I,0)),-SUMIFS(Assets!$J:$J,Assets!$B:$B,$A294,Assets!$R:$R,"Yes"),0))</f>
        <v/>
      </c>
      <c r="G294" s="9">
        <f>IF(OR($A294="",I294=""),"",MAX(0,(I294-J294)/IF(IFERROR(XLOOKUP($A294,RetirementPlan!$B:$B,RetirementPlan!$M:$M,""),"")="",SWR,IFERROR(XLOOKUP($A294,RetirementPlan!$B:$B,RetirementPlan!$M:$M,""),""))))</f>
        <v/>
      </c>
      <c r="H294" s="9">
        <f>IF(OR($A294="",F294="",G294=""),"",F294-G294)</f>
        <v/>
      </c>
      <c r="I294" s="9">
        <f>IF($A294="","",XLOOKUP($A294,RetirementPlan!$B:$B,RetirementPlan!$E:$E,""))</f>
        <v/>
      </c>
      <c r="J294" s="9">
        <f>IF($A294="","",N(XLOOKUP($A294,RetirementPlan!$B:$B,RetirementPlan!$G:$G,0))+N(XLOOKUP($A294,RetirementPlan!$B:$B,RetirementPlan!$H:$H,0)))</f>
        <v/>
      </c>
      <c r="K294">
        <f>IF($A294="","",IF(NOT(ISBLANK(XLOOKUP($A294,RetirementPlan!$B:$B,RetirementPlan!$N:$N,""))),XLOOKUP($A294,RetirementPlan!$B:$B,RetirementPlan!$N:$N,""),LET(cid,$A294,c,FILTER(LocationPlan!$D:$D,LocationPlan!$C:$C=cid),p,FILTER(LocationPlan!$E:$E,LocationPlan!$C:$C=cid),IFERROR(INDEX(c,MATCH(MAX(p),p,0)),""))))</f>
        <v/>
      </c>
    </row>
    <row r="295">
      <c r="B295">
        <f>IF($A295="","",XLOOKUP($A295,Clients!$A:$A,Clients!$D:$D)&amp;" "&amp;XLOOKUP($A295,Clients!$A:$A,Clients!$E:$E))</f>
        <v/>
      </c>
      <c r="C295">
        <f>IF($A295="","",DATEDIF(XLOOKUP($A295,Clients!$A:$A,Clients!$F:$F),VAL_DATE,"Y"))</f>
        <v/>
      </c>
      <c r="D295">
        <f>IF(OR($A295="",E295=""),"",E295-C295)</f>
        <v/>
      </c>
      <c r="E295">
        <f>IF($A295="","",XLOOKUP($A295,RetirementPlan!$B:$B,RetirementPlan!$C:$C,""))</f>
        <v/>
      </c>
      <c r="F295" s="9">
        <f>IF(OR($A295="",D295=""),"",FV(IF(IFERROR(XLOOKUP($A295,RetirementPlan!$B:$B,RetirementPlan!$K:$K,""),"")="",GROWTH,IFERROR(XLOOKUP($A295,RetirementPlan!$B:$B,RetirementPlan!$K:$K,""),"")),D295,-N(XLOOKUP($A295,RetirementPlan!$B:$B,RetirementPlan!$I:$I,0)),-SUMIFS(Assets!$J:$J,Assets!$B:$B,$A295,Assets!$R:$R,"Yes"),0))</f>
        <v/>
      </c>
      <c r="G295" s="9">
        <f>IF(OR($A295="",I295=""),"",MAX(0,(I295-J295)/IF(IFERROR(XLOOKUP($A295,RetirementPlan!$B:$B,RetirementPlan!$M:$M,""),"")="",SWR,IFERROR(XLOOKUP($A295,RetirementPlan!$B:$B,RetirementPlan!$M:$M,""),""))))</f>
        <v/>
      </c>
      <c r="H295" s="9">
        <f>IF(OR($A295="",F295="",G295=""),"",F295-G295)</f>
        <v/>
      </c>
      <c r="I295" s="9">
        <f>IF($A295="","",XLOOKUP($A295,RetirementPlan!$B:$B,RetirementPlan!$E:$E,""))</f>
        <v/>
      </c>
      <c r="J295" s="9">
        <f>IF($A295="","",N(XLOOKUP($A295,RetirementPlan!$B:$B,RetirementPlan!$G:$G,0))+N(XLOOKUP($A295,RetirementPlan!$B:$B,RetirementPlan!$H:$H,0)))</f>
        <v/>
      </c>
      <c r="K295">
        <f>IF($A295="","",IF(NOT(ISBLANK(XLOOKUP($A295,RetirementPlan!$B:$B,RetirementPlan!$N:$N,""))),XLOOKUP($A295,RetirementPlan!$B:$B,RetirementPlan!$N:$N,""),LET(cid,$A295,c,FILTER(LocationPlan!$D:$D,LocationPlan!$C:$C=cid),p,FILTER(LocationPlan!$E:$E,LocationPlan!$C:$C=cid),IFERROR(INDEX(c,MATCH(MAX(p),p,0)),""))))</f>
        <v/>
      </c>
    </row>
    <row r="296">
      <c r="B296">
        <f>IF($A296="","",XLOOKUP($A296,Clients!$A:$A,Clients!$D:$D)&amp;" "&amp;XLOOKUP($A296,Clients!$A:$A,Clients!$E:$E))</f>
        <v/>
      </c>
      <c r="C296">
        <f>IF($A296="","",DATEDIF(XLOOKUP($A296,Clients!$A:$A,Clients!$F:$F),VAL_DATE,"Y"))</f>
        <v/>
      </c>
      <c r="D296">
        <f>IF(OR($A296="",E296=""),"",E296-C296)</f>
        <v/>
      </c>
      <c r="E296">
        <f>IF($A296="","",XLOOKUP($A296,RetirementPlan!$B:$B,RetirementPlan!$C:$C,""))</f>
        <v/>
      </c>
      <c r="F296" s="9">
        <f>IF(OR($A296="",D296=""),"",FV(IF(IFERROR(XLOOKUP($A296,RetirementPlan!$B:$B,RetirementPlan!$K:$K,""),"")="",GROWTH,IFERROR(XLOOKUP($A296,RetirementPlan!$B:$B,RetirementPlan!$K:$K,""),"")),D296,-N(XLOOKUP($A296,RetirementPlan!$B:$B,RetirementPlan!$I:$I,0)),-SUMIFS(Assets!$J:$J,Assets!$B:$B,$A296,Assets!$R:$R,"Yes"),0))</f>
        <v/>
      </c>
      <c r="G296" s="9">
        <f>IF(OR($A296="",I296=""),"",MAX(0,(I296-J296)/IF(IFERROR(XLOOKUP($A296,RetirementPlan!$B:$B,RetirementPlan!$M:$M,""),"")="",SWR,IFERROR(XLOOKUP($A296,RetirementPlan!$B:$B,RetirementPlan!$M:$M,""),""))))</f>
        <v/>
      </c>
      <c r="H296" s="9">
        <f>IF(OR($A296="",F296="",G296=""),"",F296-G296)</f>
        <v/>
      </c>
      <c r="I296" s="9">
        <f>IF($A296="","",XLOOKUP($A296,RetirementPlan!$B:$B,RetirementPlan!$E:$E,""))</f>
        <v/>
      </c>
      <c r="J296" s="9">
        <f>IF($A296="","",N(XLOOKUP($A296,RetirementPlan!$B:$B,RetirementPlan!$G:$G,0))+N(XLOOKUP($A296,RetirementPlan!$B:$B,RetirementPlan!$H:$H,0)))</f>
        <v/>
      </c>
      <c r="K296">
        <f>IF($A296="","",IF(NOT(ISBLANK(XLOOKUP($A296,RetirementPlan!$B:$B,RetirementPlan!$N:$N,""))),XLOOKUP($A296,RetirementPlan!$B:$B,RetirementPlan!$N:$N,""),LET(cid,$A296,c,FILTER(LocationPlan!$D:$D,LocationPlan!$C:$C=cid),p,FILTER(LocationPlan!$E:$E,LocationPlan!$C:$C=cid),IFERROR(INDEX(c,MATCH(MAX(p),p,0)),""))))</f>
        <v/>
      </c>
    </row>
    <row r="297">
      <c r="B297">
        <f>IF($A297="","",XLOOKUP($A297,Clients!$A:$A,Clients!$D:$D)&amp;" "&amp;XLOOKUP($A297,Clients!$A:$A,Clients!$E:$E))</f>
        <v/>
      </c>
      <c r="C297">
        <f>IF($A297="","",DATEDIF(XLOOKUP($A297,Clients!$A:$A,Clients!$F:$F),VAL_DATE,"Y"))</f>
        <v/>
      </c>
      <c r="D297">
        <f>IF(OR($A297="",E297=""),"",E297-C297)</f>
        <v/>
      </c>
      <c r="E297">
        <f>IF($A297="","",XLOOKUP($A297,RetirementPlan!$B:$B,RetirementPlan!$C:$C,""))</f>
        <v/>
      </c>
      <c r="F297" s="9">
        <f>IF(OR($A297="",D297=""),"",FV(IF(IFERROR(XLOOKUP($A297,RetirementPlan!$B:$B,RetirementPlan!$K:$K,""),"")="",GROWTH,IFERROR(XLOOKUP($A297,RetirementPlan!$B:$B,RetirementPlan!$K:$K,""),"")),D297,-N(XLOOKUP($A297,RetirementPlan!$B:$B,RetirementPlan!$I:$I,0)),-SUMIFS(Assets!$J:$J,Assets!$B:$B,$A297,Assets!$R:$R,"Yes"),0))</f>
        <v/>
      </c>
      <c r="G297" s="9">
        <f>IF(OR($A297="",I297=""),"",MAX(0,(I297-J297)/IF(IFERROR(XLOOKUP($A297,RetirementPlan!$B:$B,RetirementPlan!$M:$M,""),"")="",SWR,IFERROR(XLOOKUP($A297,RetirementPlan!$B:$B,RetirementPlan!$M:$M,""),""))))</f>
        <v/>
      </c>
      <c r="H297" s="9">
        <f>IF(OR($A297="",F297="",G297=""),"",F297-G297)</f>
        <v/>
      </c>
      <c r="I297" s="9">
        <f>IF($A297="","",XLOOKUP($A297,RetirementPlan!$B:$B,RetirementPlan!$E:$E,""))</f>
        <v/>
      </c>
      <c r="J297" s="9">
        <f>IF($A297="","",N(XLOOKUP($A297,RetirementPlan!$B:$B,RetirementPlan!$G:$G,0))+N(XLOOKUP($A297,RetirementPlan!$B:$B,RetirementPlan!$H:$H,0)))</f>
        <v/>
      </c>
      <c r="K297">
        <f>IF($A297="","",IF(NOT(ISBLANK(XLOOKUP($A297,RetirementPlan!$B:$B,RetirementPlan!$N:$N,""))),XLOOKUP($A297,RetirementPlan!$B:$B,RetirementPlan!$N:$N,""),LET(cid,$A297,c,FILTER(LocationPlan!$D:$D,LocationPlan!$C:$C=cid),p,FILTER(LocationPlan!$E:$E,LocationPlan!$C:$C=cid),IFERROR(INDEX(c,MATCH(MAX(p),p,0)),""))))</f>
        <v/>
      </c>
    </row>
    <row r="298">
      <c r="B298">
        <f>IF($A298="","",XLOOKUP($A298,Clients!$A:$A,Clients!$D:$D)&amp;" "&amp;XLOOKUP($A298,Clients!$A:$A,Clients!$E:$E))</f>
        <v/>
      </c>
      <c r="C298">
        <f>IF($A298="","",DATEDIF(XLOOKUP($A298,Clients!$A:$A,Clients!$F:$F),VAL_DATE,"Y"))</f>
        <v/>
      </c>
      <c r="D298">
        <f>IF(OR($A298="",E298=""),"",E298-C298)</f>
        <v/>
      </c>
      <c r="E298">
        <f>IF($A298="","",XLOOKUP($A298,RetirementPlan!$B:$B,RetirementPlan!$C:$C,""))</f>
        <v/>
      </c>
      <c r="F298" s="9">
        <f>IF(OR($A298="",D298=""),"",FV(IF(IFERROR(XLOOKUP($A298,RetirementPlan!$B:$B,RetirementPlan!$K:$K,""),"")="",GROWTH,IFERROR(XLOOKUP($A298,RetirementPlan!$B:$B,RetirementPlan!$K:$K,""),"")),D298,-N(XLOOKUP($A298,RetirementPlan!$B:$B,RetirementPlan!$I:$I,0)),-SUMIFS(Assets!$J:$J,Assets!$B:$B,$A298,Assets!$R:$R,"Yes"),0))</f>
        <v/>
      </c>
      <c r="G298" s="9">
        <f>IF(OR($A298="",I298=""),"",MAX(0,(I298-J298)/IF(IFERROR(XLOOKUP($A298,RetirementPlan!$B:$B,RetirementPlan!$M:$M,""),"")="",SWR,IFERROR(XLOOKUP($A298,RetirementPlan!$B:$B,RetirementPlan!$M:$M,""),""))))</f>
        <v/>
      </c>
      <c r="H298" s="9">
        <f>IF(OR($A298="",F298="",G298=""),"",F298-G298)</f>
        <v/>
      </c>
      <c r="I298" s="9">
        <f>IF($A298="","",XLOOKUP($A298,RetirementPlan!$B:$B,RetirementPlan!$E:$E,""))</f>
        <v/>
      </c>
      <c r="J298" s="9">
        <f>IF($A298="","",N(XLOOKUP($A298,RetirementPlan!$B:$B,RetirementPlan!$G:$G,0))+N(XLOOKUP($A298,RetirementPlan!$B:$B,RetirementPlan!$H:$H,0)))</f>
        <v/>
      </c>
      <c r="K298">
        <f>IF($A298="","",IF(NOT(ISBLANK(XLOOKUP($A298,RetirementPlan!$B:$B,RetirementPlan!$N:$N,""))),XLOOKUP($A298,RetirementPlan!$B:$B,RetirementPlan!$N:$N,""),LET(cid,$A298,c,FILTER(LocationPlan!$D:$D,LocationPlan!$C:$C=cid),p,FILTER(LocationPlan!$E:$E,LocationPlan!$C:$C=cid),IFERROR(INDEX(c,MATCH(MAX(p),p,0)),""))))</f>
        <v/>
      </c>
    </row>
    <row r="299">
      <c r="B299">
        <f>IF($A299="","",XLOOKUP($A299,Clients!$A:$A,Clients!$D:$D)&amp;" "&amp;XLOOKUP($A299,Clients!$A:$A,Clients!$E:$E))</f>
        <v/>
      </c>
      <c r="C299">
        <f>IF($A299="","",DATEDIF(XLOOKUP($A299,Clients!$A:$A,Clients!$F:$F),VAL_DATE,"Y"))</f>
        <v/>
      </c>
      <c r="D299">
        <f>IF(OR($A299="",E299=""),"",E299-C299)</f>
        <v/>
      </c>
      <c r="E299">
        <f>IF($A299="","",XLOOKUP($A299,RetirementPlan!$B:$B,RetirementPlan!$C:$C,""))</f>
        <v/>
      </c>
      <c r="F299" s="9">
        <f>IF(OR($A299="",D299=""),"",FV(IF(IFERROR(XLOOKUP($A299,RetirementPlan!$B:$B,RetirementPlan!$K:$K,""),"")="",GROWTH,IFERROR(XLOOKUP($A299,RetirementPlan!$B:$B,RetirementPlan!$K:$K,""),"")),D299,-N(XLOOKUP($A299,RetirementPlan!$B:$B,RetirementPlan!$I:$I,0)),-SUMIFS(Assets!$J:$J,Assets!$B:$B,$A299,Assets!$R:$R,"Yes"),0))</f>
        <v/>
      </c>
      <c r="G299" s="9">
        <f>IF(OR($A299="",I299=""),"",MAX(0,(I299-J299)/IF(IFERROR(XLOOKUP($A299,RetirementPlan!$B:$B,RetirementPlan!$M:$M,""),"")="",SWR,IFERROR(XLOOKUP($A299,RetirementPlan!$B:$B,RetirementPlan!$M:$M,""),""))))</f>
        <v/>
      </c>
      <c r="H299" s="9">
        <f>IF(OR($A299="",F299="",G299=""),"",F299-G299)</f>
        <v/>
      </c>
      <c r="I299" s="9">
        <f>IF($A299="","",XLOOKUP($A299,RetirementPlan!$B:$B,RetirementPlan!$E:$E,""))</f>
        <v/>
      </c>
      <c r="J299" s="9">
        <f>IF($A299="","",N(XLOOKUP($A299,RetirementPlan!$B:$B,RetirementPlan!$G:$G,0))+N(XLOOKUP($A299,RetirementPlan!$B:$B,RetirementPlan!$H:$H,0)))</f>
        <v/>
      </c>
      <c r="K299">
        <f>IF($A299="","",IF(NOT(ISBLANK(XLOOKUP($A299,RetirementPlan!$B:$B,RetirementPlan!$N:$N,""))),XLOOKUP($A299,RetirementPlan!$B:$B,RetirementPlan!$N:$N,""),LET(cid,$A299,c,FILTER(LocationPlan!$D:$D,LocationPlan!$C:$C=cid),p,FILTER(LocationPlan!$E:$E,LocationPlan!$C:$C=cid),IFERROR(INDEX(c,MATCH(MAX(p),p,0)),""))))</f>
        <v/>
      </c>
    </row>
    <row r="300">
      <c r="B300">
        <f>IF($A300="","",XLOOKUP($A300,Clients!$A:$A,Clients!$D:$D)&amp;" "&amp;XLOOKUP($A300,Clients!$A:$A,Clients!$E:$E))</f>
        <v/>
      </c>
      <c r="C300">
        <f>IF($A300="","",DATEDIF(XLOOKUP($A300,Clients!$A:$A,Clients!$F:$F),VAL_DATE,"Y"))</f>
        <v/>
      </c>
      <c r="D300">
        <f>IF(OR($A300="",E300=""),"",E300-C300)</f>
        <v/>
      </c>
      <c r="E300">
        <f>IF($A300="","",XLOOKUP($A300,RetirementPlan!$B:$B,RetirementPlan!$C:$C,""))</f>
        <v/>
      </c>
      <c r="F300" s="9">
        <f>IF(OR($A300="",D300=""),"",FV(IF(IFERROR(XLOOKUP($A300,RetirementPlan!$B:$B,RetirementPlan!$K:$K,""),"")="",GROWTH,IFERROR(XLOOKUP($A300,RetirementPlan!$B:$B,RetirementPlan!$K:$K,""),"")),D300,-N(XLOOKUP($A300,RetirementPlan!$B:$B,RetirementPlan!$I:$I,0)),-SUMIFS(Assets!$J:$J,Assets!$B:$B,$A300,Assets!$R:$R,"Yes"),0))</f>
        <v/>
      </c>
      <c r="G300" s="9">
        <f>IF(OR($A300="",I300=""),"",MAX(0,(I300-J300)/IF(IFERROR(XLOOKUP($A300,RetirementPlan!$B:$B,RetirementPlan!$M:$M,""),"")="",SWR,IFERROR(XLOOKUP($A300,RetirementPlan!$B:$B,RetirementPlan!$M:$M,""),""))))</f>
        <v/>
      </c>
      <c r="H300" s="9">
        <f>IF(OR($A300="",F300="",G300=""),"",F300-G300)</f>
        <v/>
      </c>
      <c r="I300" s="9">
        <f>IF($A300="","",XLOOKUP($A300,RetirementPlan!$B:$B,RetirementPlan!$E:$E,""))</f>
        <v/>
      </c>
      <c r="J300" s="9">
        <f>IF($A300="","",N(XLOOKUP($A300,RetirementPlan!$B:$B,RetirementPlan!$G:$G,0))+N(XLOOKUP($A300,RetirementPlan!$B:$B,RetirementPlan!$H:$H,0)))</f>
        <v/>
      </c>
      <c r="K300">
        <f>IF($A300="","",IF(NOT(ISBLANK(XLOOKUP($A300,RetirementPlan!$B:$B,RetirementPlan!$N:$N,""))),XLOOKUP($A300,RetirementPlan!$B:$B,RetirementPlan!$N:$N,""),LET(cid,$A300,c,FILTER(LocationPlan!$D:$D,LocationPlan!$C:$C=cid),p,FILTER(LocationPlan!$E:$E,LocationPlan!$C:$C=cid),IFERROR(INDEX(c,MATCH(MAX(p),p,0)),""))))</f>
        <v/>
      </c>
    </row>
    <row r="301">
      <c r="B301">
        <f>IF($A301="","",XLOOKUP($A301,Clients!$A:$A,Clients!$D:$D)&amp;" "&amp;XLOOKUP($A301,Clients!$A:$A,Clients!$E:$E))</f>
        <v/>
      </c>
      <c r="C301">
        <f>IF($A301="","",DATEDIF(XLOOKUP($A301,Clients!$A:$A,Clients!$F:$F),VAL_DATE,"Y"))</f>
        <v/>
      </c>
      <c r="D301">
        <f>IF(OR($A301="",E301=""),"",E301-C301)</f>
        <v/>
      </c>
      <c r="E301">
        <f>IF($A301="","",XLOOKUP($A301,RetirementPlan!$B:$B,RetirementPlan!$C:$C,""))</f>
        <v/>
      </c>
      <c r="F301" s="9">
        <f>IF(OR($A301="",D301=""),"",FV(IF(IFERROR(XLOOKUP($A301,RetirementPlan!$B:$B,RetirementPlan!$K:$K,""),"")="",GROWTH,IFERROR(XLOOKUP($A301,RetirementPlan!$B:$B,RetirementPlan!$K:$K,""),"")),D301,-N(XLOOKUP($A301,RetirementPlan!$B:$B,RetirementPlan!$I:$I,0)),-SUMIFS(Assets!$J:$J,Assets!$B:$B,$A301,Assets!$R:$R,"Yes"),0))</f>
        <v/>
      </c>
      <c r="G301" s="9">
        <f>IF(OR($A301="",I301=""),"",MAX(0,(I301-J301)/IF(IFERROR(XLOOKUP($A301,RetirementPlan!$B:$B,RetirementPlan!$M:$M,""),"")="",SWR,IFERROR(XLOOKUP($A301,RetirementPlan!$B:$B,RetirementPlan!$M:$M,""),""))))</f>
        <v/>
      </c>
      <c r="H301" s="9">
        <f>IF(OR($A301="",F301="",G301=""),"",F301-G301)</f>
        <v/>
      </c>
      <c r="I301" s="9">
        <f>IF($A301="","",XLOOKUP($A301,RetirementPlan!$B:$B,RetirementPlan!$E:$E,""))</f>
        <v/>
      </c>
      <c r="J301" s="9">
        <f>IF($A301="","",N(XLOOKUP($A301,RetirementPlan!$B:$B,RetirementPlan!$G:$G,0))+N(XLOOKUP($A301,RetirementPlan!$B:$B,RetirementPlan!$H:$H,0)))</f>
        <v/>
      </c>
      <c r="K301">
        <f>IF($A301="","",IF(NOT(ISBLANK(XLOOKUP($A301,RetirementPlan!$B:$B,RetirementPlan!$N:$N,""))),XLOOKUP($A301,RetirementPlan!$B:$B,RetirementPlan!$N:$N,""),LET(cid,$A301,c,FILTER(LocationPlan!$D:$D,LocationPlan!$C:$C=cid),p,FILTER(LocationPlan!$E:$E,LocationPlan!$C:$C=cid),IFERROR(INDEX(c,MATCH(MAX(p),p,0)),""))))</f>
        <v/>
      </c>
    </row>
    <row r="302">
      <c r="B302">
        <f>IF($A302="","",XLOOKUP($A302,Clients!$A:$A,Clients!$D:$D)&amp;" "&amp;XLOOKUP($A302,Clients!$A:$A,Clients!$E:$E))</f>
        <v/>
      </c>
      <c r="C302">
        <f>IF($A302="","",DATEDIF(XLOOKUP($A302,Clients!$A:$A,Clients!$F:$F),VAL_DATE,"Y"))</f>
        <v/>
      </c>
      <c r="D302">
        <f>IF(OR($A302="",E302=""),"",E302-C302)</f>
        <v/>
      </c>
      <c r="E302">
        <f>IF($A302="","",XLOOKUP($A302,RetirementPlan!$B:$B,RetirementPlan!$C:$C,""))</f>
        <v/>
      </c>
      <c r="F302" s="9">
        <f>IF(OR($A302="",D302=""),"",FV(IF(IFERROR(XLOOKUP($A302,RetirementPlan!$B:$B,RetirementPlan!$K:$K,""),"")="",GROWTH,IFERROR(XLOOKUP($A302,RetirementPlan!$B:$B,RetirementPlan!$K:$K,""),"")),D302,-N(XLOOKUP($A302,RetirementPlan!$B:$B,RetirementPlan!$I:$I,0)),-SUMIFS(Assets!$J:$J,Assets!$B:$B,$A302,Assets!$R:$R,"Yes"),0))</f>
        <v/>
      </c>
      <c r="G302" s="9">
        <f>IF(OR($A302="",I302=""),"",MAX(0,(I302-J302)/IF(IFERROR(XLOOKUP($A302,RetirementPlan!$B:$B,RetirementPlan!$M:$M,""),"")="",SWR,IFERROR(XLOOKUP($A302,RetirementPlan!$B:$B,RetirementPlan!$M:$M,""),""))))</f>
        <v/>
      </c>
      <c r="H302" s="9">
        <f>IF(OR($A302="",F302="",G302=""),"",F302-G302)</f>
        <v/>
      </c>
      <c r="I302" s="9">
        <f>IF($A302="","",XLOOKUP($A302,RetirementPlan!$B:$B,RetirementPlan!$E:$E,""))</f>
        <v/>
      </c>
      <c r="J302" s="9">
        <f>IF($A302="","",N(XLOOKUP($A302,RetirementPlan!$B:$B,RetirementPlan!$G:$G,0))+N(XLOOKUP($A302,RetirementPlan!$B:$B,RetirementPlan!$H:$H,0)))</f>
        <v/>
      </c>
      <c r="K302">
        <f>IF($A302="","",IF(NOT(ISBLANK(XLOOKUP($A302,RetirementPlan!$B:$B,RetirementPlan!$N:$N,""))),XLOOKUP($A302,RetirementPlan!$B:$B,RetirementPlan!$N:$N,""),LET(cid,$A302,c,FILTER(LocationPlan!$D:$D,LocationPlan!$C:$C=cid),p,FILTER(LocationPlan!$E:$E,LocationPlan!$C:$C=cid),IFERROR(INDEX(c,MATCH(MAX(p),p,0)),""))))</f>
        <v/>
      </c>
    </row>
    <row r="303">
      <c r="B303">
        <f>IF($A303="","",XLOOKUP($A303,Clients!$A:$A,Clients!$D:$D)&amp;" "&amp;XLOOKUP($A303,Clients!$A:$A,Clients!$E:$E))</f>
        <v/>
      </c>
      <c r="C303">
        <f>IF($A303="","",DATEDIF(XLOOKUP($A303,Clients!$A:$A,Clients!$F:$F),VAL_DATE,"Y"))</f>
        <v/>
      </c>
      <c r="D303">
        <f>IF(OR($A303="",E303=""),"",E303-C303)</f>
        <v/>
      </c>
      <c r="E303">
        <f>IF($A303="","",XLOOKUP($A303,RetirementPlan!$B:$B,RetirementPlan!$C:$C,""))</f>
        <v/>
      </c>
      <c r="F303" s="9">
        <f>IF(OR($A303="",D303=""),"",FV(IF(IFERROR(XLOOKUP($A303,RetirementPlan!$B:$B,RetirementPlan!$K:$K,""),"")="",GROWTH,IFERROR(XLOOKUP($A303,RetirementPlan!$B:$B,RetirementPlan!$K:$K,""),"")),D303,-N(XLOOKUP($A303,RetirementPlan!$B:$B,RetirementPlan!$I:$I,0)),-SUMIFS(Assets!$J:$J,Assets!$B:$B,$A303,Assets!$R:$R,"Yes"),0))</f>
        <v/>
      </c>
      <c r="G303" s="9">
        <f>IF(OR($A303="",I303=""),"",MAX(0,(I303-J303)/IF(IFERROR(XLOOKUP($A303,RetirementPlan!$B:$B,RetirementPlan!$M:$M,""),"")="",SWR,IFERROR(XLOOKUP($A303,RetirementPlan!$B:$B,RetirementPlan!$M:$M,""),""))))</f>
        <v/>
      </c>
      <c r="H303" s="9">
        <f>IF(OR($A303="",F303="",G303=""),"",F303-G303)</f>
        <v/>
      </c>
      <c r="I303" s="9">
        <f>IF($A303="","",XLOOKUP($A303,RetirementPlan!$B:$B,RetirementPlan!$E:$E,""))</f>
        <v/>
      </c>
      <c r="J303" s="9">
        <f>IF($A303="","",N(XLOOKUP($A303,RetirementPlan!$B:$B,RetirementPlan!$G:$G,0))+N(XLOOKUP($A303,RetirementPlan!$B:$B,RetirementPlan!$H:$H,0)))</f>
        <v/>
      </c>
      <c r="K303">
        <f>IF($A303="","",IF(NOT(ISBLANK(XLOOKUP($A303,RetirementPlan!$B:$B,RetirementPlan!$N:$N,""))),XLOOKUP($A303,RetirementPlan!$B:$B,RetirementPlan!$N:$N,""),LET(cid,$A303,c,FILTER(LocationPlan!$D:$D,LocationPlan!$C:$C=cid),p,FILTER(LocationPlan!$E:$E,LocationPlan!$C:$C=cid),IFERROR(INDEX(c,MATCH(MAX(p),p,0)),""))))</f>
        <v/>
      </c>
    </row>
    <row r="304">
      <c r="B304">
        <f>IF($A304="","",XLOOKUP($A304,Clients!$A:$A,Clients!$D:$D)&amp;" "&amp;XLOOKUP($A304,Clients!$A:$A,Clients!$E:$E))</f>
        <v/>
      </c>
      <c r="C304">
        <f>IF($A304="","",DATEDIF(XLOOKUP($A304,Clients!$A:$A,Clients!$F:$F),VAL_DATE,"Y"))</f>
        <v/>
      </c>
      <c r="D304">
        <f>IF(OR($A304="",E304=""),"",E304-C304)</f>
        <v/>
      </c>
      <c r="E304">
        <f>IF($A304="","",XLOOKUP($A304,RetirementPlan!$B:$B,RetirementPlan!$C:$C,""))</f>
        <v/>
      </c>
      <c r="F304" s="9">
        <f>IF(OR($A304="",D304=""),"",FV(IF(IFERROR(XLOOKUP($A304,RetirementPlan!$B:$B,RetirementPlan!$K:$K,""),"")="",GROWTH,IFERROR(XLOOKUP($A304,RetirementPlan!$B:$B,RetirementPlan!$K:$K,""),"")),D304,-N(XLOOKUP($A304,RetirementPlan!$B:$B,RetirementPlan!$I:$I,0)),-SUMIFS(Assets!$J:$J,Assets!$B:$B,$A304,Assets!$R:$R,"Yes"),0))</f>
        <v/>
      </c>
      <c r="G304" s="9">
        <f>IF(OR($A304="",I304=""),"",MAX(0,(I304-J304)/IF(IFERROR(XLOOKUP($A304,RetirementPlan!$B:$B,RetirementPlan!$M:$M,""),"")="",SWR,IFERROR(XLOOKUP($A304,RetirementPlan!$B:$B,RetirementPlan!$M:$M,""),""))))</f>
        <v/>
      </c>
      <c r="H304" s="9">
        <f>IF(OR($A304="",F304="",G304=""),"",F304-G304)</f>
        <v/>
      </c>
      <c r="I304" s="9">
        <f>IF($A304="","",XLOOKUP($A304,RetirementPlan!$B:$B,RetirementPlan!$E:$E,""))</f>
        <v/>
      </c>
      <c r="J304" s="9">
        <f>IF($A304="","",N(XLOOKUP($A304,RetirementPlan!$B:$B,RetirementPlan!$G:$G,0))+N(XLOOKUP($A304,RetirementPlan!$B:$B,RetirementPlan!$H:$H,0)))</f>
        <v/>
      </c>
      <c r="K304">
        <f>IF($A304="","",IF(NOT(ISBLANK(XLOOKUP($A304,RetirementPlan!$B:$B,RetirementPlan!$N:$N,""))),XLOOKUP($A304,RetirementPlan!$B:$B,RetirementPlan!$N:$N,""),LET(cid,$A304,c,FILTER(LocationPlan!$D:$D,LocationPlan!$C:$C=cid),p,FILTER(LocationPlan!$E:$E,LocationPlan!$C:$C=cid),IFERROR(INDEX(c,MATCH(MAX(p),p,0)),""))))</f>
        <v/>
      </c>
    </row>
    <row r="305">
      <c r="B305">
        <f>IF($A305="","",XLOOKUP($A305,Clients!$A:$A,Clients!$D:$D)&amp;" "&amp;XLOOKUP($A305,Clients!$A:$A,Clients!$E:$E))</f>
        <v/>
      </c>
      <c r="C305">
        <f>IF($A305="","",DATEDIF(XLOOKUP($A305,Clients!$A:$A,Clients!$F:$F),VAL_DATE,"Y"))</f>
        <v/>
      </c>
      <c r="D305">
        <f>IF(OR($A305="",E305=""),"",E305-C305)</f>
        <v/>
      </c>
      <c r="E305">
        <f>IF($A305="","",XLOOKUP($A305,RetirementPlan!$B:$B,RetirementPlan!$C:$C,""))</f>
        <v/>
      </c>
      <c r="F305" s="9">
        <f>IF(OR($A305="",D305=""),"",FV(IF(IFERROR(XLOOKUP($A305,RetirementPlan!$B:$B,RetirementPlan!$K:$K,""),"")="",GROWTH,IFERROR(XLOOKUP($A305,RetirementPlan!$B:$B,RetirementPlan!$K:$K,""),"")),D305,-N(XLOOKUP($A305,RetirementPlan!$B:$B,RetirementPlan!$I:$I,0)),-SUMIFS(Assets!$J:$J,Assets!$B:$B,$A305,Assets!$R:$R,"Yes"),0))</f>
        <v/>
      </c>
      <c r="G305" s="9">
        <f>IF(OR($A305="",I305=""),"",MAX(0,(I305-J305)/IF(IFERROR(XLOOKUP($A305,RetirementPlan!$B:$B,RetirementPlan!$M:$M,""),"")="",SWR,IFERROR(XLOOKUP($A305,RetirementPlan!$B:$B,RetirementPlan!$M:$M,""),""))))</f>
        <v/>
      </c>
      <c r="H305" s="9">
        <f>IF(OR($A305="",F305="",G305=""),"",F305-G305)</f>
        <v/>
      </c>
      <c r="I305" s="9">
        <f>IF($A305="","",XLOOKUP($A305,RetirementPlan!$B:$B,RetirementPlan!$E:$E,""))</f>
        <v/>
      </c>
      <c r="J305" s="9">
        <f>IF($A305="","",N(XLOOKUP($A305,RetirementPlan!$B:$B,RetirementPlan!$G:$G,0))+N(XLOOKUP($A305,RetirementPlan!$B:$B,RetirementPlan!$H:$H,0)))</f>
        <v/>
      </c>
      <c r="K305">
        <f>IF($A305="","",IF(NOT(ISBLANK(XLOOKUP($A305,RetirementPlan!$B:$B,RetirementPlan!$N:$N,""))),XLOOKUP($A305,RetirementPlan!$B:$B,RetirementPlan!$N:$N,""),LET(cid,$A305,c,FILTER(LocationPlan!$D:$D,LocationPlan!$C:$C=cid),p,FILTER(LocationPlan!$E:$E,LocationPlan!$C:$C=cid),IFERROR(INDEX(c,MATCH(MAX(p),p,0)),""))))</f>
        <v/>
      </c>
    </row>
    <row r="306">
      <c r="B306">
        <f>IF($A306="","",XLOOKUP($A306,Clients!$A:$A,Clients!$D:$D)&amp;" "&amp;XLOOKUP($A306,Clients!$A:$A,Clients!$E:$E))</f>
        <v/>
      </c>
      <c r="C306">
        <f>IF($A306="","",DATEDIF(XLOOKUP($A306,Clients!$A:$A,Clients!$F:$F),VAL_DATE,"Y"))</f>
        <v/>
      </c>
      <c r="D306">
        <f>IF(OR($A306="",E306=""),"",E306-C306)</f>
        <v/>
      </c>
      <c r="E306">
        <f>IF($A306="","",XLOOKUP($A306,RetirementPlan!$B:$B,RetirementPlan!$C:$C,""))</f>
        <v/>
      </c>
      <c r="F306" s="9">
        <f>IF(OR($A306="",D306=""),"",FV(IF(IFERROR(XLOOKUP($A306,RetirementPlan!$B:$B,RetirementPlan!$K:$K,""),"")="",GROWTH,IFERROR(XLOOKUP($A306,RetirementPlan!$B:$B,RetirementPlan!$K:$K,""),"")),D306,-N(XLOOKUP($A306,RetirementPlan!$B:$B,RetirementPlan!$I:$I,0)),-SUMIFS(Assets!$J:$J,Assets!$B:$B,$A306,Assets!$R:$R,"Yes"),0))</f>
        <v/>
      </c>
      <c r="G306" s="9">
        <f>IF(OR($A306="",I306=""),"",MAX(0,(I306-J306)/IF(IFERROR(XLOOKUP($A306,RetirementPlan!$B:$B,RetirementPlan!$M:$M,""),"")="",SWR,IFERROR(XLOOKUP($A306,RetirementPlan!$B:$B,RetirementPlan!$M:$M,""),""))))</f>
        <v/>
      </c>
      <c r="H306" s="9">
        <f>IF(OR($A306="",F306="",G306=""),"",F306-G306)</f>
        <v/>
      </c>
      <c r="I306" s="9">
        <f>IF($A306="","",XLOOKUP($A306,RetirementPlan!$B:$B,RetirementPlan!$E:$E,""))</f>
        <v/>
      </c>
      <c r="J306" s="9">
        <f>IF($A306="","",N(XLOOKUP($A306,RetirementPlan!$B:$B,RetirementPlan!$G:$G,0))+N(XLOOKUP($A306,RetirementPlan!$B:$B,RetirementPlan!$H:$H,0)))</f>
        <v/>
      </c>
      <c r="K306">
        <f>IF($A306="","",IF(NOT(ISBLANK(XLOOKUP($A306,RetirementPlan!$B:$B,RetirementPlan!$N:$N,""))),XLOOKUP($A306,RetirementPlan!$B:$B,RetirementPlan!$N:$N,""),LET(cid,$A306,c,FILTER(LocationPlan!$D:$D,LocationPlan!$C:$C=cid),p,FILTER(LocationPlan!$E:$E,LocationPlan!$C:$C=cid),IFERROR(INDEX(c,MATCH(MAX(p),p,0)),""))))</f>
        <v/>
      </c>
    </row>
    <row r="307">
      <c r="B307">
        <f>IF($A307="","",XLOOKUP($A307,Clients!$A:$A,Clients!$D:$D)&amp;" "&amp;XLOOKUP($A307,Clients!$A:$A,Clients!$E:$E))</f>
        <v/>
      </c>
      <c r="C307">
        <f>IF($A307="","",DATEDIF(XLOOKUP($A307,Clients!$A:$A,Clients!$F:$F),VAL_DATE,"Y"))</f>
        <v/>
      </c>
      <c r="D307">
        <f>IF(OR($A307="",E307=""),"",E307-C307)</f>
        <v/>
      </c>
      <c r="E307">
        <f>IF($A307="","",XLOOKUP($A307,RetirementPlan!$B:$B,RetirementPlan!$C:$C,""))</f>
        <v/>
      </c>
      <c r="F307" s="9">
        <f>IF(OR($A307="",D307=""),"",FV(IF(IFERROR(XLOOKUP($A307,RetirementPlan!$B:$B,RetirementPlan!$K:$K,""),"")="",GROWTH,IFERROR(XLOOKUP($A307,RetirementPlan!$B:$B,RetirementPlan!$K:$K,""),"")),D307,-N(XLOOKUP($A307,RetirementPlan!$B:$B,RetirementPlan!$I:$I,0)),-SUMIFS(Assets!$J:$J,Assets!$B:$B,$A307,Assets!$R:$R,"Yes"),0))</f>
        <v/>
      </c>
      <c r="G307" s="9">
        <f>IF(OR($A307="",I307=""),"",MAX(0,(I307-J307)/IF(IFERROR(XLOOKUP($A307,RetirementPlan!$B:$B,RetirementPlan!$M:$M,""),"")="",SWR,IFERROR(XLOOKUP($A307,RetirementPlan!$B:$B,RetirementPlan!$M:$M,""),""))))</f>
        <v/>
      </c>
      <c r="H307" s="9">
        <f>IF(OR($A307="",F307="",G307=""),"",F307-G307)</f>
        <v/>
      </c>
      <c r="I307" s="9">
        <f>IF($A307="","",XLOOKUP($A307,RetirementPlan!$B:$B,RetirementPlan!$E:$E,""))</f>
        <v/>
      </c>
      <c r="J307" s="9">
        <f>IF($A307="","",N(XLOOKUP($A307,RetirementPlan!$B:$B,RetirementPlan!$G:$G,0))+N(XLOOKUP($A307,RetirementPlan!$B:$B,RetirementPlan!$H:$H,0)))</f>
        <v/>
      </c>
      <c r="K307">
        <f>IF($A307="","",IF(NOT(ISBLANK(XLOOKUP($A307,RetirementPlan!$B:$B,RetirementPlan!$N:$N,""))),XLOOKUP($A307,RetirementPlan!$B:$B,RetirementPlan!$N:$N,""),LET(cid,$A307,c,FILTER(LocationPlan!$D:$D,LocationPlan!$C:$C=cid),p,FILTER(LocationPlan!$E:$E,LocationPlan!$C:$C=cid),IFERROR(INDEX(c,MATCH(MAX(p),p,0)),""))))</f>
        <v/>
      </c>
    </row>
    <row r="308">
      <c r="B308">
        <f>IF($A308="","",XLOOKUP($A308,Clients!$A:$A,Clients!$D:$D)&amp;" "&amp;XLOOKUP($A308,Clients!$A:$A,Clients!$E:$E))</f>
        <v/>
      </c>
      <c r="C308">
        <f>IF($A308="","",DATEDIF(XLOOKUP($A308,Clients!$A:$A,Clients!$F:$F),VAL_DATE,"Y"))</f>
        <v/>
      </c>
      <c r="D308">
        <f>IF(OR($A308="",E308=""),"",E308-C308)</f>
        <v/>
      </c>
      <c r="E308">
        <f>IF($A308="","",XLOOKUP($A308,RetirementPlan!$B:$B,RetirementPlan!$C:$C,""))</f>
        <v/>
      </c>
      <c r="F308" s="9">
        <f>IF(OR($A308="",D308=""),"",FV(IF(IFERROR(XLOOKUP($A308,RetirementPlan!$B:$B,RetirementPlan!$K:$K,""),"")="",GROWTH,IFERROR(XLOOKUP($A308,RetirementPlan!$B:$B,RetirementPlan!$K:$K,""),"")),D308,-N(XLOOKUP($A308,RetirementPlan!$B:$B,RetirementPlan!$I:$I,0)),-SUMIFS(Assets!$J:$J,Assets!$B:$B,$A308,Assets!$R:$R,"Yes"),0))</f>
        <v/>
      </c>
      <c r="G308" s="9">
        <f>IF(OR($A308="",I308=""),"",MAX(0,(I308-J308)/IF(IFERROR(XLOOKUP($A308,RetirementPlan!$B:$B,RetirementPlan!$M:$M,""),"")="",SWR,IFERROR(XLOOKUP($A308,RetirementPlan!$B:$B,RetirementPlan!$M:$M,""),""))))</f>
        <v/>
      </c>
      <c r="H308" s="9">
        <f>IF(OR($A308="",F308="",G308=""),"",F308-G308)</f>
        <v/>
      </c>
      <c r="I308" s="9">
        <f>IF($A308="","",XLOOKUP($A308,RetirementPlan!$B:$B,RetirementPlan!$E:$E,""))</f>
        <v/>
      </c>
      <c r="J308" s="9">
        <f>IF($A308="","",N(XLOOKUP($A308,RetirementPlan!$B:$B,RetirementPlan!$G:$G,0))+N(XLOOKUP($A308,RetirementPlan!$B:$B,RetirementPlan!$H:$H,0)))</f>
        <v/>
      </c>
      <c r="K308">
        <f>IF($A308="","",IF(NOT(ISBLANK(XLOOKUP($A308,RetirementPlan!$B:$B,RetirementPlan!$N:$N,""))),XLOOKUP($A308,RetirementPlan!$B:$B,RetirementPlan!$N:$N,""),LET(cid,$A308,c,FILTER(LocationPlan!$D:$D,LocationPlan!$C:$C=cid),p,FILTER(LocationPlan!$E:$E,LocationPlan!$C:$C=cid),IFERROR(INDEX(c,MATCH(MAX(p),p,0)),""))))</f>
        <v/>
      </c>
    </row>
    <row r="309">
      <c r="B309">
        <f>IF($A309="","",XLOOKUP($A309,Clients!$A:$A,Clients!$D:$D)&amp;" "&amp;XLOOKUP($A309,Clients!$A:$A,Clients!$E:$E))</f>
        <v/>
      </c>
      <c r="C309">
        <f>IF($A309="","",DATEDIF(XLOOKUP($A309,Clients!$A:$A,Clients!$F:$F),VAL_DATE,"Y"))</f>
        <v/>
      </c>
      <c r="D309">
        <f>IF(OR($A309="",E309=""),"",E309-C309)</f>
        <v/>
      </c>
      <c r="E309">
        <f>IF($A309="","",XLOOKUP($A309,RetirementPlan!$B:$B,RetirementPlan!$C:$C,""))</f>
        <v/>
      </c>
      <c r="F309" s="9">
        <f>IF(OR($A309="",D309=""),"",FV(IF(IFERROR(XLOOKUP($A309,RetirementPlan!$B:$B,RetirementPlan!$K:$K,""),"")="",GROWTH,IFERROR(XLOOKUP($A309,RetirementPlan!$B:$B,RetirementPlan!$K:$K,""),"")),D309,-N(XLOOKUP($A309,RetirementPlan!$B:$B,RetirementPlan!$I:$I,0)),-SUMIFS(Assets!$J:$J,Assets!$B:$B,$A309,Assets!$R:$R,"Yes"),0))</f>
        <v/>
      </c>
      <c r="G309" s="9">
        <f>IF(OR($A309="",I309=""),"",MAX(0,(I309-J309)/IF(IFERROR(XLOOKUP($A309,RetirementPlan!$B:$B,RetirementPlan!$M:$M,""),"")="",SWR,IFERROR(XLOOKUP($A309,RetirementPlan!$B:$B,RetirementPlan!$M:$M,""),""))))</f>
        <v/>
      </c>
      <c r="H309" s="9">
        <f>IF(OR($A309="",F309="",G309=""),"",F309-G309)</f>
        <v/>
      </c>
      <c r="I309" s="9">
        <f>IF($A309="","",XLOOKUP($A309,RetirementPlan!$B:$B,RetirementPlan!$E:$E,""))</f>
        <v/>
      </c>
      <c r="J309" s="9">
        <f>IF($A309="","",N(XLOOKUP($A309,RetirementPlan!$B:$B,RetirementPlan!$G:$G,0))+N(XLOOKUP($A309,RetirementPlan!$B:$B,RetirementPlan!$H:$H,0)))</f>
        <v/>
      </c>
      <c r="K309">
        <f>IF($A309="","",IF(NOT(ISBLANK(XLOOKUP($A309,RetirementPlan!$B:$B,RetirementPlan!$N:$N,""))),XLOOKUP($A309,RetirementPlan!$B:$B,RetirementPlan!$N:$N,""),LET(cid,$A309,c,FILTER(LocationPlan!$D:$D,LocationPlan!$C:$C=cid),p,FILTER(LocationPlan!$E:$E,LocationPlan!$C:$C=cid),IFERROR(INDEX(c,MATCH(MAX(p),p,0)),""))))</f>
        <v/>
      </c>
    </row>
    <row r="310">
      <c r="B310">
        <f>IF($A310="","",XLOOKUP($A310,Clients!$A:$A,Clients!$D:$D)&amp;" "&amp;XLOOKUP($A310,Clients!$A:$A,Clients!$E:$E))</f>
        <v/>
      </c>
      <c r="C310">
        <f>IF($A310="","",DATEDIF(XLOOKUP($A310,Clients!$A:$A,Clients!$F:$F),VAL_DATE,"Y"))</f>
        <v/>
      </c>
      <c r="D310">
        <f>IF(OR($A310="",E310=""),"",E310-C310)</f>
        <v/>
      </c>
      <c r="E310">
        <f>IF($A310="","",XLOOKUP($A310,RetirementPlan!$B:$B,RetirementPlan!$C:$C,""))</f>
        <v/>
      </c>
      <c r="F310" s="9">
        <f>IF(OR($A310="",D310=""),"",FV(IF(IFERROR(XLOOKUP($A310,RetirementPlan!$B:$B,RetirementPlan!$K:$K,""),"")="",GROWTH,IFERROR(XLOOKUP($A310,RetirementPlan!$B:$B,RetirementPlan!$K:$K,""),"")),D310,-N(XLOOKUP($A310,RetirementPlan!$B:$B,RetirementPlan!$I:$I,0)),-SUMIFS(Assets!$J:$J,Assets!$B:$B,$A310,Assets!$R:$R,"Yes"),0))</f>
        <v/>
      </c>
      <c r="G310" s="9">
        <f>IF(OR($A310="",I310=""),"",MAX(0,(I310-J310)/IF(IFERROR(XLOOKUP($A310,RetirementPlan!$B:$B,RetirementPlan!$M:$M,""),"")="",SWR,IFERROR(XLOOKUP($A310,RetirementPlan!$B:$B,RetirementPlan!$M:$M,""),""))))</f>
        <v/>
      </c>
      <c r="H310" s="9">
        <f>IF(OR($A310="",F310="",G310=""),"",F310-G310)</f>
        <v/>
      </c>
      <c r="I310" s="9">
        <f>IF($A310="","",XLOOKUP($A310,RetirementPlan!$B:$B,RetirementPlan!$E:$E,""))</f>
        <v/>
      </c>
      <c r="J310" s="9">
        <f>IF($A310="","",N(XLOOKUP($A310,RetirementPlan!$B:$B,RetirementPlan!$G:$G,0))+N(XLOOKUP($A310,RetirementPlan!$B:$B,RetirementPlan!$H:$H,0)))</f>
        <v/>
      </c>
      <c r="K310">
        <f>IF($A310="","",IF(NOT(ISBLANK(XLOOKUP($A310,RetirementPlan!$B:$B,RetirementPlan!$N:$N,""))),XLOOKUP($A310,RetirementPlan!$B:$B,RetirementPlan!$N:$N,""),LET(cid,$A310,c,FILTER(LocationPlan!$D:$D,LocationPlan!$C:$C=cid),p,FILTER(LocationPlan!$E:$E,LocationPlan!$C:$C=cid),IFERROR(INDEX(c,MATCH(MAX(p),p,0)),""))))</f>
        <v/>
      </c>
    </row>
    <row r="311">
      <c r="B311">
        <f>IF($A311="","",XLOOKUP($A311,Clients!$A:$A,Clients!$D:$D)&amp;" "&amp;XLOOKUP($A311,Clients!$A:$A,Clients!$E:$E))</f>
        <v/>
      </c>
      <c r="C311">
        <f>IF($A311="","",DATEDIF(XLOOKUP($A311,Clients!$A:$A,Clients!$F:$F),VAL_DATE,"Y"))</f>
        <v/>
      </c>
      <c r="D311">
        <f>IF(OR($A311="",E311=""),"",E311-C311)</f>
        <v/>
      </c>
      <c r="E311">
        <f>IF($A311="","",XLOOKUP($A311,RetirementPlan!$B:$B,RetirementPlan!$C:$C,""))</f>
        <v/>
      </c>
      <c r="F311" s="9">
        <f>IF(OR($A311="",D311=""),"",FV(IF(IFERROR(XLOOKUP($A311,RetirementPlan!$B:$B,RetirementPlan!$K:$K,""),"")="",GROWTH,IFERROR(XLOOKUP($A311,RetirementPlan!$B:$B,RetirementPlan!$K:$K,""),"")),D311,-N(XLOOKUP($A311,RetirementPlan!$B:$B,RetirementPlan!$I:$I,0)),-SUMIFS(Assets!$J:$J,Assets!$B:$B,$A311,Assets!$R:$R,"Yes"),0))</f>
        <v/>
      </c>
      <c r="G311" s="9">
        <f>IF(OR($A311="",I311=""),"",MAX(0,(I311-J311)/IF(IFERROR(XLOOKUP($A311,RetirementPlan!$B:$B,RetirementPlan!$M:$M,""),"")="",SWR,IFERROR(XLOOKUP($A311,RetirementPlan!$B:$B,RetirementPlan!$M:$M,""),""))))</f>
        <v/>
      </c>
      <c r="H311" s="9">
        <f>IF(OR($A311="",F311="",G311=""),"",F311-G311)</f>
        <v/>
      </c>
      <c r="I311" s="9">
        <f>IF($A311="","",XLOOKUP($A311,RetirementPlan!$B:$B,RetirementPlan!$E:$E,""))</f>
        <v/>
      </c>
      <c r="J311" s="9">
        <f>IF($A311="","",N(XLOOKUP($A311,RetirementPlan!$B:$B,RetirementPlan!$G:$G,0))+N(XLOOKUP($A311,RetirementPlan!$B:$B,RetirementPlan!$H:$H,0)))</f>
        <v/>
      </c>
      <c r="K311">
        <f>IF($A311="","",IF(NOT(ISBLANK(XLOOKUP($A311,RetirementPlan!$B:$B,RetirementPlan!$N:$N,""))),XLOOKUP($A311,RetirementPlan!$B:$B,RetirementPlan!$N:$N,""),LET(cid,$A311,c,FILTER(LocationPlan!$D:$D,LocationPlan!$C:$C=cid),p,FILTER(LocationPlan!$E:$E,LocationPlan!$C:$C=cid),IFERROR(INDEX(c,MATCH(MAX(p),p,0)),""))))</f>
        <v/>
      </c>
    </row>
    <row r="312">
      <c r="B312">
        <f>IF($A312="","",XLOOKUP($A312,Clients!$A:$A,Clients!$D:$D)&amp;" "&amp;XLOOKUP($A312,Clients!$A:$A,Clients!$E:$E))</f>
        <v/>
      </c>
      <c r="C312">
        <f>IF($A312="","",DATEDIF(XLOOKUP($A312,Clients!$A:$A,Clients!$F:$F),VAL_DATE,"Y"))</f>
        <v/>
      </c>
      <c r="D312">
        <f>IF(OR($A312="",E312=""),"",E312-C312)</f>
        <v/>
      </c>
      <c r="E312">
        <f>IF($A312="","",XLOOKUP($A312,RetirementPlan!$B:$B,RetirementPlan!$C:$C,""))</f>
        <v/>
      </c>
      <c r="F312" s="9">
        <f>IF(OR($A312="",D312=""),"",FV(IF(IFERROR(XLOOKUP($A312,RetirementPlan!$B:$B,RetirementPlan!$K:$K,""),"")="",GROWTH,IFERROR(XLOOKUP($A312,RetirementPlan!$B:$B,RetirementPlan!$K:$K,""),"")),D312,-N(XLOOKUP($A312,RetirementPlan!$B:$B,RetirementPlan!$I:$I,0)),-SUMIFS(Assets!$J:$J,Assets!$B:$B,$A312,Assets!$R:$R,"Yes"),0))</f>
        <v/>
      </c>
      <c r="G312" s="9">
        <f>IF(OR($A312="",I312=""),"",MAX(0,(I312-J312)/IF(IFERROR(XLOOKUP($A312,RetirementPlan!$B:$B,RetirementPlan!$M:$M,""),"")="",SWR,IFERROR(XLOOKUP($A312,RetirementPlan!$B:$B,RetirementPlan!$M:$M,""),""))))</f>
        <v/>
      </c>
      <c r="H312" s="9">
        <f>IF(OR($A312="",F312="",G312=""),"",F312-G312)</f>
        <v/>
      </c>
      <c r="I312" s="9">
        <f>IF($A312="","",XLOOKUP($A312,RetirementPlan!$B:$B,RetirementPlan!$E:$E,""))</f>
        <v/>
      </c>
      <c r="J312" s="9">
        <f>IF($A312="","",N(XLOOKUP($A312,RetirementPlan!$B:$B,RetirementPlan!$G:$G,0))+N(XLOOKUP($A312,RetirementPlan!$B:$B,RetirementPlan!$H:$H,0)))</f>
        <v/>
      </c>
      <c r="K312">
        <f>IF($A312="","",IF(NOT(ISBLANK(XLOOKUP($A312,RetirementPlan!$B:$B,RetirementPlan!$N:$N,""))),XLOOKUP($A312,RetirementPlan!$B:$B,RetirementPlan!$N:$N,""),LET(cid,$A312,c,FILTER(LocationPlan!$D:$D,LocationPlan!$C:$C=cid),p,FILTER(LocationPlan!$E:$E,LocationPlan!$C:$C=cid),IFERROR(INDEX(c,MATCH(MAX(p),p,0)),""))))</f>
        <v/>
      </c>
    </row>
    <row r="313">
      <c r="B313">
        <f>IF($A313="","",XLOOKUP($A313,Clients!$A:$A,Clients!$D:$D)&amp;" "&amp;XLOOKUP($A313,Clients!$A:$A,Clients!$E:$E))</f>
        <v/>
      </c>
      <c r="C313">
        <f>IF($A313="","",DATEDIF(XLOOKUP($A313,Clients!$A:$A,Clients!$F:$F),VAL_DATE,"Y"))</f>
        <v/>
      </c>
      <c r="D313">
        <f>IF(OR($A313="",E313=""),"",E313-C313)</f>
        <v/>
      </c>
      <c r="E313">
        <f>IF($A313="","",XLOOKUP($A313,RetirementPlan!$B:$B,RetirementPlan!$C:$C,""))</f>
        <v/>
      </c>
      <c r="F313" s="9">
        <f>IF(OR($A313="",D313=""),"",FV(IF(IFERROR(XLOOKUP($A313,RetirementPlan!$B:$B,RetirementPlan!$K:$K,""),"")="",GROWTH,IFERROR(XLOOKUP($A313,RetirementPlan!$B:$B,RetirementPlan!$K:$K,""),"")),D313,-N(XLOOKUP($A313,RetirementPlan!$B:$B,RetirementPlan!$I:$I,0)),-SUMIFS(Assets!$J:$J,Assets!$B:$B,$A313,Assets!$R:$R,"Yes"),0))</f>
        <v/>
      </c>
      <c r="G313" s="9">
        <f>IF(OR($A313="",I313=""),"",MAX(0,(I313-J313)/IF(IFERROR(XLOOKUP($A313,RetirementPlan!$B:$B,RetirementPlan!$M:$M,""),"")="",SWR,IFERROR(XLOOKUP($A313,RetirementPlan!$B:$B,RetirementPlan!$M:$M,""),""))))</f>
        <v/>
      </c>
      <c r="H313" s="9">
        <f>IF(OR($A313="",F313="",G313=""),"",F313-G313)</f>
        <v/>
      </c>
      <c r="I313" s="9">
        <f>IF($A313="","",XLOOKUP($A313,RetirementPlan!$B:$B,RetirementPlan!$E:$E,""))</f>
        <v/>
      </c>
      <c r="J313" s="9">
        <f>IF($A313="","",N(XLOOKUP($A313,RetirementPlan!$B:$B,RetirementPlan!$G:$G,0))+N(XLOOKUP($A313,RetirementPlan!$B:$B,RetirementPlan!$H:$H,0)))</f>
        <v/>
      </c>
      <c r="K313">
        <f>IF($A313="","",IF(NOT(ISBLANK(XLOOKUP($A313,RetirementPlan!$B:$B,RetirementPlan!$N:$N,""))),XLOOKUP($A313,RetirementPlan!$B:$B,RetirementPlan!$N:$N,""),LET(cid,$A313,c,FILTER(LocationPlan!$D:$D,LocationPlan!$C:$C=cid),p,FILTER(LocationPlan!$E:$E,LocationPlan!$C:$C=cid),IFERROR(INDEX(c,MATCH(MAX(p),p,0)),""))))</f>
        <v/>
      </c>
    </row>
    <row r="314">
      <c r="B314">
        <f>IF($A314="","",XLOOKUP($A314,Clients!$A:$A,Clients!$D:$D)&amp;" "&amp;XLOOKUP($A314,Clients!$A:$A,Clients!$E:$E))</f>
        <v/>
      </c>
      <c r="C314">
        <f>IF($A314="","",DATEDIF(XLOOKUP($A314,Clients!$A:$A,Clients!$F:$F),VAL_DATE,"Y"))</f>
        <v/>
      </c>
      <c r="D314">
        <f>IF(OR($A314="",E314=""),"",E314-C314)</f>
        <v/>
      </c>
      <c r="E314">
        <f>IF($A314="","",XLOOKUP($A314,RetirementPlan!$B:$B,RetirementPlan!$C:$C,""))</f>
        <v/>
      </c>
      <c r="F314" s="9">
        <f>IF(OR($A314="",D314=""),"",FV(IF(IFERROR(XLOOKUP($A314,RetirementPlan!$B:$B,RetirementPlan!$K:$K,""),"")="",GROWTH,IFERROR(XLOOKUP($A314,RetirementPlan!$B:$B,RetirementPlan!$K:$K,""),"")),D314,-N(XLOOKUP($A314,RetirementPlan!$B:$B,RetirementPlan!$I:$I,0)),-SUMIFS(Assets!$J:$J,Assets!$B:$B,$A314,Assets!$R:$R,"Yes"),0))</f>
        <v/>
      </c>
      <c r="G314" s="9">
        <f>IF(OR($A314="",I314=""),"",MAX(0,(I314-J314)/IF(IFERROR(XLOOKUP($A314,RetirementPlan!$B:$B,RetirementPlan!$M:$M,""),"")="",SWR,IFERROR(XLOOKUP($A314,RetirementPlan!$B:$B,RetirementPlan!$M:$M,""),""))))</f>
        <v/>
      </c>
      <c r="H314" s="9">
        <f>IF(OR($A314="",F314="",G314=""),"",F314-G314)</f>
        <v/>
      </c>
      <c r="I314" s="9">
        <f>IF($A314="","",XLOOKUP($A314,RetirementPlan!$B:$B,RetirementPlan!$E:$E,""))</f>
        <v/>
      </c>
      <c r="J314" s="9">
        <f>IF($A314="","",N(XLOOKUP($A314,RetirementPlan!$B:$B,RetirementPlan!$G:$G,0))+N(XLOOKUP($A314,RetirementPlan!$B:$B,RetirementPlan!$H:$H,0)))</f>
        <v/>
      </c>
      <c r="K314">
        <f>IF($A314="","",IF(NOT(ISBLANK(XLOOKUP($A314,RetirementPlan!$B:$B,RetirementPlan!$N:$N,""))),XLOOKUP($A314,RetirementPlan!$B:$B,RetirementPlan!$N:$N,""),LET(cid,$A314,c,FILTER(LocationPlan!$D:$D,LocationPlan!$C:$C=cid),p,FILTER(LocationPlan!$E:$E,LocationPlan!$C:$C=cid),IFERROR(INDEX(c,MATCH(MAX(p),p,0)),""))))</f>
        <v/>
      </c>
    </row>
    <row r="315">
      <c r="B315">
        <f>IF($A315="","",XLOOKUP($A315,Clients!$A:$A,Clients!$D:$D)&amp;" "&amp;XLOOKUP($A315,Clients!$A:$A,Clients!$E:$E))</f>
        <v/>
      </c>
      <c r="C315">
        <f>IF($A315="","",DATEDIF(XLOOKUP($A315,Clients!$A:$A,Clients!$F:$F),VAL_DATE,"Y"))</f>
        <v/>
      </c>
      <c r="D315">
        <f>IF(OR($A315="",E315=""),"",E315-C315)</f>
        <v/>
      </c>
      <c r="E315">
        <f>IF($A315="","",XLOOKUP($A315,RetirementPlan!$B:$B,RetirementPlan!$C:$C,""))</f>
        <v/>
      </c>
      <c r="F315" s="9">
        <f>IF(OR($A315="",D315=""),"",FV(IF(IFERROR(XLOOKUP($A315,RetirementPlan!$B:$B,RetirementPlan!$K:$K,""),"")="",GROWTH,IFERROR(XLOOKUP($A315,RetirementPlan!$B:$B,RetirementPlan!$K:$K,""),"")),D315,-N(XLOOKUP($A315,RetirementPlan!$B:$B,RetirementPlan!$I:$I,0)),-SUMIFS(Assets!$J:$J,Assets!$B:$B,$A315,Assets!$R:$R,"Yes"),0))</f>
        <v/>
      </c>
      <c r="G315" s="9">
        <f>IF(OR($A315="",I315=""),"",MAX(0,(I315-J315)/IF(IFERROR(XLOOKUP($A315,RetirementPlan!$B:$B,RetirementPlan!$M:$M,""),"")="",SWR,IFERROR(XLOOKUP($A315,RetirementPlan!$B:$B,RetirementPlan!$M:$M,""),""))))</f>
        <v/>
      </c>
      <c r="H315" s="9">
        <f>IF(OR($A315="",F315="",G315=""),"",F315-G315)</f>
        <v/>
      </c>
      <c r="I315" s="9">
        <f>IF($A315="","",XLOOKUP($A315,RetirementPlan!$B:$B,RetirementPlan!$E:$E,""))</f>
        <v/>
      </c>
      <c r="J315" s="9">
        <f>IF($A315="","",N(XLOOKUP($A315,RetirementPlan!$B:$B,RetirementPlan!$G:$G,0))+N(XLOOKUP($A315,RetirementPlan!$B:$B,RetirementPlan!$H:$H,0)))</f>
        <v/>
      </c>
      <c r="K315">
        <f>IF($A315="","",IF(NOT(ISBLANK(XLOOKUP($A315,RetirementPlan!$B:$B,RetirementPlan!$N:$N,""))),XLOOKUP($A315,RetirementPlan!$B:$B,RetirementPlan!$N:$N,""),LET(cid,$A315,c,FILTER(LocationPlan!$D:$D,LocationPlan!$C:$C=cid),p,FILTER(LocationPlan!$E:$E,LocationPlan!$C:$C=cid),IFERROR(INDEX(c,MATCH(MAX(p),p,0)),""))))</f>
        <v/>
      </c>
    </row>
    <row r="316">
      <c r="B316">
        <f>IF($A316="","",XLOOKUP($A316,Clients!$A:$A,Clients!$D:$D)&amp;" "&amp;XLOOKUP($A316,Clients!$A:$A,Clients!$E:$E))</f>
        <v/>
      </c>
      <c r="C316">
        <f>IF($A316="","",DATEDIF(XLOOKUP($A316,Clients!$A:$A,Clients!$F:$F),VAL_DATE,"Y"))</f>
        <v/>
      </c>
      <c r="D316">
        <f>IF(OR($A316="",E316=""),"",E316-C316)</f>
        <v/>
      </c>
      <c r="E316">
        <f>IF($A316="","",XLOOKUP($A316,RetirementPlan!$B:$B,RetirementPlan!$C:$C,""))</f>
        <v/>
      </c>
      <c r="F316" s="9">
        <f>IF(OR($A316="",D316=""),"",FV(IF(IFERROR(XLOOKUP($A316,RetirementPlan!$B:$B,RetirementPlan!$K:$K,""),"")="",GROWTH,IFERROR(XLOOKUP($A316,RetirementPlan!$B:$B,RetirementPlan!$K:$K,""),"")),D316,-N(XLOOKUP($A316,RetirementPlan!$B:$B,RetirementPlan!$I:$I,0)),-SUMIFS(Assets!$J:$J,Assets!$B:$B,$A316,Assets!$R:$R,"Yes"),0))</f>
        <v/>
      </c>
      <c r="G316" s="9">
        <f>IF(OR($A316="",I316=""),"",MAX(0,(I316-J316)/IF(IFERROR(XLOOKUP($A316,RetirementPlan!$B:$B,RetirementPlan!$M:$M,""),"")="",SWR,IFERROR(XLOOKUP($A316,RetirementPlan!$B:$B,RetirementPlan!$M:$M,""),""))))</f>
        <v/>
      </c>
      <c r="H316" s="9">
        <f>IF(OR($A316="",F316="",G316=""),"",F316-G316)</f>
        <v/>
      </c>
      <c r="I316" s="9">
        <f>IF($A316="","",XLOOKUP($A316,RetirementPlan!$B:$B,RetirementPlan!$E:$E,""))</f>
        <v/>
      </c>
      <c r="J316" s="9">
        <f>IF($A316="","",N(XLOOKUP($A316,RetirementPlan!$B:$B,RetirementPlan!$G:$G,0))+N(XLOOKUP($A316,RetirementPlan!$B:$B,RetirementPlan!$H:$H,0)))</f>
        <v/>
      </c>
      <c r="K316">
        <f>IF($A316="","",IF(NOT(ISBLANK(XLOOKUP($A316,RetirementPlan!$B:$B,RetirementPlan!$N:$N,""))),XLOOKUP($A316,RetirementPlan!$B:$B,RetirementPlan!$N:$N,""),LET(cid,$A316,c,FILTER(LocationPlan!$D:$D,LocationPlan!$C:$C=cid),p,FILTER(LocationPlan!$E:$E,LocationPlan!$C:$C=cid),IFERROR(INDEX(c,MATCH(MAX(p),p,0)),""))))</f>
        <v/>
      </c>
    </row>
    <row r="317">
      <c r="B317">
        <f>IF($A317="","",XLOOKUP($A317,Clients!$A:$A,Clients!$D:$D)&amp;" "&amp;XLOOKUP($A317,Clients!$A:$A,Clients!$E:$E))</f>
        <v/>
      </c>
      <c r="C317">
        <f>IF($A317="","",DATEDIF(XLOOKUP($A317,Clients!$A:$A,Clients!$F:$F),VAL_DATE,"Y"))</f>
        <v/>
      </c>
      <c r="D317">
        <f>IF(OR($A317="",E317=""),"",E317-C317)</f>
        <v/>
      </c>
      <c r="E317">
        <f>IF($A317="","",XLOOKUP($A317,RetirementPlan!$B:$B,RetirementPlan!$C:$C,""))</f>
        <v/>
      </c>
      <c r="F317" s="9">
        <f>IF(OR($A317="",D317=""),"",FV(IF(IFERROR(XLOOKUP($A317,RetirementPlan!$B:$B,RetirementPlan!$K:$K,""),"")="",GROWTH,IFERROR(XLOOKUP($A317,RetirementPlan!$B:$B,RetirementPlan!$K:$K,""),"")),D317,-N(XLOOKUP($A317,RetirementPlan!$B:$B,RetirementPlan!$I:$I,0)),-SUMIFS(Assets!$J:$J,Assets!$B:$B,$A317,Assets!$R:$R,"Yes"),0))</f>
        <v/>
      </c>
      <c r="G317" s="9">
        <f>IF(OR($A317="",I317=""),"",MAX(0,(I317-J317)/IF(IFERROR(XLOOKUP($A317,RetirementPlan!$B:$B,RetirementPlan!$M:$M,""),"")="",SWR,IFERROR(XLOOKUP($A317,RetirementPlan!$B:$B,RetirementPlan!$M:$M,""),""))))</f>
        <v/>
      </c>
      <c r="H317" s="9">
        <f>IF(OR($A317="",F317="",G317=""),"",F317-G317)</f>
        <v/>
      </c>
      <c r="I317" s="9">
        <f>IF($A317="","",XLOOKUP($A317,RetirementPlan!$B:$B,RetirementPlan!$E:$E,""))</f>
        <v/>
      </c>
      <c r="J317" s="9">
        <f>IF($A317="","",N(XLOOKUP($A317,RetirementPlan!$B:$B,RetirementPlan!$G:$G,0))+N(XLOOKUP($A317,RetirementPlan!$B:$B,RetirementPlan!$H:$H,0)))</f>
        <v/>
      </c>
      <c r="K317">
        <f>IF($A317="","",IF(NOT(ISBLANK(XLOOKUP($A317,RetirementPlan!$B:$B,RetirementPlan!$N:$N,""))),XLOOKUP($A317,RetirementPlan!$B:$B,RetirementPlan!$N:$N,""),LET(cid,$A317,c,FILTER(LocationPlan!$D:$D,LocationPlan!$C:$C=cid),p,FILTER(LocationPlan!$E:$E,LocationPlan!$C:$C=cid),IFERROR(INDEX(c,MATCH(MAX(p),p,0)),""))))</f>
        <v/>
      </c>
    </row>
    <row r="318">
      <c r="B318">
        <f>IF($A318="","",XLOOKUP($A318,Clients!$A:$A,Clients!$D:$D)&amp;" "&amp;XLOOKUP($A318,Clients!$A:$A,Clients!$E:$E))</f>
        <v/>
      </c>
      <c r="C318">
        <f>IF($A318="","",DATEDIF(XLOOKUP($A318,Clients!$A:$A,Clients!$F:$F),VAL_DATE,"Y"))</f>
        <v/>
      </c>
      <c r="D318">
        <f>IF(OR($A318="",E318=""),"",E318-C318)</f>
        <v/>
      </c>
      <c r="E318">
        <f>IF($A318="","",XLOOKUP($A318,RetirementPlan!$B:$B,RetirementPlan!$C:$C,""))</f>
        <v/>
      </c>
      <c r="F318" s="9">
        <f>IF(OR($A318="",D318=""),"",FV(IF(IFERROR(XLOOKUP($A318,RetirementPlan!$B:$B,RetirementPlan!$K:$K,""),"")="",GROWTH,IFERROR(XLOOKUP($A318,RetirementPlan!$B:$B,RetirementPlan!$K:$K,""),"")),D318,-N(XLOOKUP($A318,RetirementPlan!$B:$B,RetirementPlan!$I:$I,0)),-SUMIFS(Assets!$J:$J,Assets!$B:$B,$A318,Assets!$R:$R,"Yes"),0))</f>
        <v/>
      </c>
      <c r="G318" s="9">
        <f>IF(OR($A318="",I318=""),"",MAX(0,(I318-J318)/IF(IFERROR(XLOOKUP($A318,RetirementPlan!$B:$B,RetirementPlan!$M:$M,""),"")="",SWR,IFERROR(XLOOKUP($A318,RetirementPlan!$B:$B,RetirementPlan!$M:$M,""),""))))</f>
        <v/>
      </c>
      <c r="H318" s="9">
        <f>IF(OR($A318="",F318="",G318=""),"",F318-G318)</f>
        <v/>
      </c>
      <c r="I318" s="9">
        <f>IF($A318="","",XLOOKUP($A318,RetirementPlan!$B:$B,RetirementPlan!$E:$E,""))</f>
        <v/>
      </c>
      <c r="J318" s="9">
        <f>IF($A318="","",N(XLOOKUP($A318,RetirementPlan!$B:$B,RetirementPlan!$G:$G,0))+N(XLOOKUP($A318,RetirementPlan!$B:$B,RetirementPlan!$H:$H,0)))</f>
        <v/>
      </c>
      <c r="K318">
        <f>IF($A318="","",IF(NOT(ISBLANK(XLOOKUP($A318,RetirementPlan!$B:$B,RetirementPlan!$N:$N,""))),XLOOKUP($A318,RetirementPlan!$B:$B,RetirementPlan!$N:$N,""),LET(cid,$A318,c,FILTER(LocationPlan!$D:$D,LocationPlan!$C:$C=cid),p,FILTER(LocationPlan!$E:$E,LocationPlan!$C:$C=cid),IFERROR(INDEX(c,MATCH(MAX(p),p,0)),""))))</f>
        <v/>
      </c>
    </row>
    <row r="319">
      <c r="B319">
        <f>IF($A319="","",XLOOKUP($A319,Clients!$A:$A,Clients!$D:$D)&amp;" "&amp;XLOOKUP($A319,Clients!$A:$A,Clients!$E:$E))</f>
        <v/>
      </c>
      <c r="C319">
        <f>IF($A319="","",DATEDIF(XLOOKUP($A319,Clients!$A:$A,Clients!$F:$F),VAL_DATE,"Y"))</f>
        <v/>
      </c>
      <c r="D319">
        <f>IF(OR($A319="",E319=""),"",E319-C319)</f>
        <v/>
      </c>
      <c r="E319">
        <f>IF($A319="","",XLOOKUP($A319,RetirementPlan!$B:$B,RetirementPlan!$C:$C,""))</f>
        <v/>
      </c>
      <c r="F319" s="9">
        <f>IF(OR($A319="",D319=""),"",FV(IF(IFERROR(XLOOKUP($A319,RetirementPlan!$B:$B,RetirementPlan!$K:$K,""),"")="",GROWTH,IFERROR(XLOOKUP($A319,RetirementPlan!$B:$B,RetirementPlan!$K:$K,""),"")),D319,-N(XLOOKUP($A319,RetirementPlan!$B:$B,RetirementPlan!$I:$I,0)),-SUMIFS(Assets!$J:$J,Assets!$B:$B,$A319,Assets!$R:$R,"Yes"),0))</f>
        <v/>
      </c>
      <c r="G319" s="9">
        <f>IF(OR($A319="",I319=""),"",MAX(0,(I319-J319)/IF(IFERROR(XLOOKUP($A319,RetirementPlan!$B:$B,RetirementPlan!$M:$M,""),"")="",SWR,IFERROR(XLOOKUP($A319,RetirementPlan!$B:$B,RetirementPlan!$M:$M,""),""))))</f>
        <v/>
      </c>
      <c r="H319" s="9">
        <f>IF(OR($A319="",F319="",G319=""),"",F319-G319)</f>
        <v/>
      </c>
      <c r="I319" s="9">
        <f>IF($A319="","",XLOOKUP($A319,RetirementPlan!$B:$B,RetirementPlan!$E:$E,""))</f>
        <v/>
      </c>
      <c r="J319" s="9">
        <f>IF($A319="","",N(XLOOKUP($A319,RetirementPlan!$B:$B,RetirementPlan!$G:$G,0))+N(XLOOKUP($A319,RetirementPlan!$B:$B,RetirementPlan!$H:$H,0)))</f>
        <v/>
      </c>
      <c r="K319">
        <f>IF($A319="","",IF(NOT(ISBLANK(XLOOKUP($A319,RetirementPlan!$B:$B,RetirementPlan!$N:$N,""))),XLOOKUP($A319,RetirementPlan!$B:$B,RetirementPlan!$N:$N,""),LET(cid,$A319,c,FILTER(LocationPlan!$D:$D,LocationPlan!$C:$C=cid),p,FILTER(LocationPlan!$E:$E,LocationPlan!$C:$C=cid),IFERROR(INDEX(c,MATCH(MAX(p),p,0)),""))))</f>
        <v/>
      </c>
    </row>
    <row r="320">
      <c r="B320">
        <f>IF($A320="","",XLOOKUP($A320,Clients!$A:$A,Clients!$D:$D)&amp;" "&amp;XLOOKUP($A320,Clients!$A:$A,Clients!$E:$E))</f>
        <v/>
      </c>
      <c r="C320">
        <f>IF($A320="","",DATEDIF(XLOOKUP($A320,Clients!$A:$A,Clients!$F:$F),VAL_DATE,"Y"))</f>
        <v/>
      </c>
      <c r="D320">
        <f>IF(OR($A320="",E320=""),"",E320-C320)</f>
        <v/>
      </c>
      <c r="E320">
        <f>IF($A320="","",XLOOKUP($A320,RetirementPlan!$B:$B,RetirementPlan!$C:$C,""))</f>
        <v/>
      </c>
      <c r="F320" s="9">
        <f>IF(OR($A320="",D320=""),"",FV(IF(IFERROR(XLOOKUP($A320,RetirementPlan!$B:$B,RetirementPlan!$K:$K,""),"")="",GROWTH,IFERROR(XLOOKUP($A320,RetirementPlan!$B:$B,RetirementPlan!$K:$K,""),"")),D320,-N(XLOOKUP($A320,RetirementPlan!$B:$B,RetirementPlan!$I:$I,0)),-SUMIFS(Assets!$J:$J,Assets!$B:$B,$A320,Assets!$R:$R,"Yes"),0))</f>
        <v/>
      </c>
      <c r="G320" s="9">
        <f>IF(OR($A320="",I320=""),"",MAX(0,(I320-J320)/IF(IFERROR(XLOOKUP($A320,RetirementPlan!$B:$B,RetirementPlan!$M:$M,""),"")="",SWR,IFERROR(XLOOKUP($A320,RetirementPlan!$B:$B,RetirementPlan!$M:$M,""),""))))</f>
        <v/>
      </c>
      <c r="H320" s="9">
        <f>IF(OR($A320="",F320="",G320=""),"",F320-G320)</f>
        <v/>
      </c>
      <c r="I320" s="9">
        <f>IF($A320="","",XLOOKUP($A320,RetirementPlan!$B:$B,RetirementPlan!$E:$E,""))</f>
        <v/>
      </c>
      <c r="J320" s="9">
        <f>IF($A320="","",N(XLOOKUP($A320,RetirementPlan!$B:$B,RetirementPlan!$G:$G,0))+N(XLOOKUP($A320,RetirementPlan!$B:$B,RetirementPlan!$H:$H,0)))</f>
        <v/>
      </c>
      <c r="K320">
        <f>IF($A320="","",IF(NOT(ISBLANK(XLOOKUP($A320,RetirementPlan!$B:$B,RetirementPlan!$N:$N,""))),XLOOKUP($A320,RetirementPlan!$B:$B,RetirementPlan!$N:$N,""),LET(cid,$A320,c,FILTER(LocationPlan!$D:$D,LocationPlan!$C:$C=cid),p,FILTER(LocationPlan!$E:$E,LocationPlan!$C:$C=cid),IFERROR(INDEX(c,MATCH(MAX(p),p,0)),""))))</f>
        <v/>
      </c>
    </row>
    <row r="321">
      <c r="B321">
        <f>IF($A321="","",XLOOKUP($A321,Clients!$A:$A,Clients!$D:$D)&amp;" "&amp;XLOOKUP($A321,Clients!$A:$A,Clients!$E:$E))</f>
        <v/>
      </c>
      <c r="C321">
        <f>IF($A321="","",DATEDIF(XLOOKUP($A321,Clients!$A:$A,Clients!$F:$F),VAL_DATE,"Y"))</f>
        <v/>
      </c>
      <c r="D321">
        <f>IF(OR($A321="",E321=""),"",E321-C321)</f>
        <v/>
      </c>
      <c r="E321">
        <f>IF($A321="","",XLOOKUP($A321,RetirementPlan!$B:$B,RetirementPlan!$C:$C,""))</f>
        <v/>
      </c>
      <c r="F321" s="9">
        <f>IF(OR($A321="",D321=""),"",FV(IF(IFERROR(XLOOKUP($A321,RetirementPlan!$B:$B,RetirementPlan!$K:$K,""),"")="",GROWTH,IFERROR(XLOOKUP($A321,RetirementPlan!$B:$B,RetirementPlan!$K:$K,""),"")),D321,-N(XLOOKUP($A321,RetirementPlan!$B:$B,RetirementPlan!$I:$I,0)),-SUMIFS(Assets!$J:$J,Assets!$B:$B,$A321,Assets!$R:$R,"Yes"),0))</f>
        <v/>
      </c>
      <c r="G321" s="9">
        <f>IF(OR($A321="",I321=""),"",MAX(0,(I321-J321)/IF(IFERROR(XLOOKUP($A321,RetirementPlan!$B:$B,RetirementPlan!$M:$M,""),"")="",SWR,IFERROR(XLOOKUP($A321,RetirementPlan!$B:$B,RetirementPlan!$M:$M,""),""))))</f>
        <v/>
      </c>
      <c r="H321" s="9">
        <f>IF(OR($A321="",F321="",G321=""),"",F321-G321)</f>
        <v/>
      </c>
      <c r="I321" s="9">
        <f>IF($A321="","",XLOOKUP($A321,RetirementPlan!$B:$B,RetirementPlan!$E:$E,""))</f>
        <v/>
      </c>
      <c r="J321" s="9">
        <f>IF($A321="","",N(XLOOKUP($A321,RetirementPlan!$B:$B,RetirementPlan!$G:$G,0))+N(XLOOKUP($A321,RetirementPlan!$B:$B,RetirementPlan!$H:$H,0)))</f>
        <v/>
      </c>
      <c r="K321">
        <f>IF($A321="","",IF(NOT(ISBLANK(XLOOKUP($A321,RetirementPlan!$B:$B,RetirementPlan!$N:$N,""))),XLOOKUP($A321,RetirementPlan!$B:$B,RetirementPlan!$N:$N,""),LET(cid,$A321,c,FILTER(LocationPlan!$D:$D,LocationPlan!$C:$C=cid),p,FILTER(LocationPlan!$E:$E,LocationPlan!$C:$C=cid),IFERROR(INDEX(c,MATCH(MAX(p),p,0)),""))))</f>
        <v/>
      </c>
    </row>
    <row r="322">
      <c r="B322">
        <f>IF($A322="","",XLOOKUP($A322,Clients!$A:$A,Clients!$D:$D)&amp;" "&amp;XLOOKUP($A322,Clients!$A:$A,Clients!$E:$E))</f>
        <v/>
      </c>
      <c r="C322">
        <f>IF($A322="","",DATEDIF(XLOOKUP($A322,Clients!$A:$A,Clients!$F:$F),VAL_DATE,"Y"))</f>
        <v/>
      </c>
      <c r="D322">
        <f>IF(OR($A322="",E322=""),"",E322-C322)</f>
        <v/>
      </c>
      <c r="E322">
        <f>IF($A322="","",XLOOKUP($A322,RetirementPlan!$B:$B,RetirementPlan!$C:$C,""))</f>
        <v/>
      </c>
      <c r="F322" s="9">
        <f>IF(OR($A322="",D322=""),"",FV(IF(IFERROR(XLOOKUP($A322,RetirementPlan!$B:$B,RetirementPlan!$K:$K,""),"")="",GROWTH,IFERROR(XLOOKUP($A322,RetirementPlan!$B:$B,RetirementPlan!$K:$K,""),"")),D322,-N(XLOOKUP($A322,RetirementPlan!$B:$B,RetirementPlan!$I:$I,0)),-SUMIFS(Assets!$J:$J,Assets!$B:$B,$A322,Assets!$R:$R,"Yes"),0))</f>
        <v/>
      </c>
      <c r="G322" s="9">
        <f>IF(OR($A322="",I322=""),"",MAX(0,(I322-J322)/IF(IFERROR(XLOOKUP($A322,RetirementPlan!$B:$B,RetirementPlan!$M:$M,""),"")="",SWR,IFERROR(XLOOKUP($A322,RetirementPlan!$B:$B,RetirementPlan!$M:$M,""),""))))</f>
        <v/>
      </c>
      <c r="H322" s="9">
        <f>IF(OR($A322="",F322="",G322=""),"",F322-G322)</f>
        <v/>
      </c>
      <c r="I322" s="9">
        <f>IF($A322="","",XLOOKUP($A322,RetirementPlan!$B:$B,RetirementPlan!$E:$E,""))</f>
        <v/>
      </c>
      <c r="J322" s="9">
        <f>IF($A322="","",N(XLOOKUP($A322,RetirementPlan!$B:$B,RetirementPlan!$G:$G,0))+N(XLOOKUP($A322,RetirementPlan!$B:$B,RetirementPlan!$H:$H,0)))</f>
        <v/>
      </c>
      <c r="K322">
        <f>IF($A322="","",IF(NOT(ISBLANK(XLOOKUP($A322,RetirementPlan!$B:$B,RetirementPlan!$N:$N,""))),XLOOKUP($A322,RetirementPlan!$B:$B,RetirementPlan!$N:$N,""),LET(cid,$A322,c,FILTER(LocationPlan!$D:$D,LocationPlan!$C:$C=cid),p,FILTER(LocationPlan!$E:$E,LocationPlan!$C:$C=cid),IFERROR(INDEX(c,MATCH(MAX(p),p,0)),""))))</f>
        <v/>
      </c>
    </row>
    <row r="323">
      <c r="B323">
        <f>IF($A323="","",XLOOKUP($A323,Clients!$A:$A,Clients!$D:$D)&amp;" "&amp;XLOOKUP($A323,Clients!$A:$A,Clients!$E:$E))</f>
        <v/>
      </c>
      <c r="C323">
        <f>IF($A323="","",DATEDIF(XLOOKUP($A323,Clients!$A:$A,Clients!$F:$F),VAL_DATE,"Y"))</f>
        <v/>
      </c>
      <c r="D323">
        <f>IF(OR($A323="",E323=""),"",E323-C323)</f>
        <v/>
      </c>
      <c r="E323">
        <f>IF($A323="","",XLOOKUP($A323,RetirementPlan!$B:$B,RetirementPlan!$C:$C,""))</f>
        <v/>
      </c>
      <c r="F323" s="9">
        <f>IF(OR($A323="",D323=""),"",FV(IF(IFERROR(XLOOKUP($A323,RetirementPlan!$B:$B,RetirementPlan!$K:$K,""),"")="",GROWTH,IFERROR(XLOOKUP($A323,RetirementPlan!$B:$B,RetirementPlan!$K:$K,""),"")),D323,-N(XLOOKUP($A323,RetirementPlan!$B:$B,RetirementPlan!$I:$I,0)),-SUMIFS(Assets!$J:$J,Assets!$B:$B,$A323,Assets!$R:$R,"Yes"),0))</f>
        <v/>
      </c>
      <c r="G323" s="9">
        <f>IF(OR($A323="",I323=""),"",MAX(0,(I323-J323)/IF(IFERROR(XLOOKUP($A323,RetirementPlan!$B:$B,RetirementPlan!$M:$M,""),"")="",SWR,IFERROR(XLOOKUP($A323,RetirementPlan!$B:$B,RetirementPlan!$M:$M,""),""))))</f>
        <v/>
      </c>
      <c r="H323" s="9">
        <f>IF(OR($A323="",F323="",G323=""),"",F323-G323)</f>
        <v/>
      </c>
      <c r="I323" s="9">
        <f>IF($A323="","",XLOOKUP($A323,RetirementPlan!$B:$B,RetirementPlan!$E:$E,""))</f>
        <v/>
      </c>
      <c r="J323" s="9">
        <f>IF($A323="","",N(XLOOKUP($A323,RetirementPlan!$B:$B,RetirementPlan!$G:$G,0))+N(XLOOKUP($A323,RetirementPlan!$B:$B,RetirementPlan!$H:$H,0)))</f>
        <v/>
      </c>
      <c r="K323">
        <f>IF($A323="","",IF(NOT(ISBLANK(XLOOKUP($A323,RetirementPlan!$B:$B,RetirementPlan!$N:$N,""))),XLOOKUP($A323,RetirementPlan!$B:$B,RetirementPlan!$N:$N,""),LET(cid,$A323,c,FILTER(LocationPlan!$D:$D,LocationPlan!$C:$C=cid),p,FILTER(LocationPlan!$E:$E,LocationPlan!$C:$C=cid),IFERROR(INDEX(c,MATCH(MAX(p),p,0)),""))))</f>
        <v/>
      </c>
    </row>
    <row r="324">
      <c r="B324">
        <f>IF($A324="","",XLOOKUP($A324,Clients!$A:$A,Clients!$D:$D)&amp;" "&amp;XLOOKUP($A324,Clients!$A:$A,Clients!$E:$E))</f>
        <v/>
      </c>
      <c r="C324">
        <f>IF($A324="","",DATEDIF(XLOOKUP($A324,Clients!$A:$A,Clients!$F:$F),VAL_DATE,"Y"))</f>
        <v/>
      </c>
      <c r="D324">
        <f>IF(OR($A324="",E324=""),"",E324-C324)</f>
        <v/>
      </c>
      <c r="E324">
        <f>IF($A324="","",XLOOKUP($A324,RetirementPlan!$B:$B,RetirementPlan!$C:$C,""))</f>
        <v/>
      </c>
      <c r="F324" s="9">
        <f>IF(OR($A324="",D324=""),"",FV(IF(IFERROR(XLOOKUP($A324,RetirementPlan!$B:$B,RetirementPlan!$K:$K,""),"")="",GROWTH,IFERROR(XLOOKUP($A324,RetirementPlan!$B:$B,RetirementPlan!$K:$K,""),"")),D324,-N(XLOOKUP($A324,RetirementPlan!$B:$B,RetirementPlan!$I:$I,0)),-SUMIFS(Assets!$J:$J,Assets!$B:$B,$A324,Assets!$R:$R,"Yes"),0))</f>
        <v/>
      </c>
      <c r="G324" s="9">
        <f>IF(OR($A324="",I324=""),"",MAX(0,(I324-J324)/IF(IFERROR(XLOOKUP($A324,RetirementPlan!$B:$B,RetirementPlan!$M:$M,""),"")="",SWR,IFERROR(XLOOKUP($A324,RetirementPlan!$B:$B,RetirementPlan!$M:$M,""),""))))</f>
        <v/>
      </c>
      <c r="H324" s="9">
        <f>IF(OR($A324="",F324="",G324=""),"",F324-G324)</f>
        <v/>
      </c>
      <c r="I324" s="9">
        <f>IF($A324="","",XLOOKUP($A324,RetirementPlan!$B:$B,RetirementPlan!$E:$E,""))</f>
        <v/>
      </c>
      <c r="J324" s="9">
        <f>IF($A324="","",N(XLOOKUP($A324,RetirementPlan!$B:$B,RetirementPlan!$G:$G,0))+N(XLOOKUP($A324,RetirementPlan!$B:$B,RetirementPlan!$H:$H,0)))</f>
        <v/>
      </c>
      <c r="K324">
        <f>IF($A324="","",IF(NOT(ISBLANK(XLOOKUP($A324,RetirementPlan!$B:$B,RetirementPlan!$N:$N,""))),XLOOKUP($A324,RetirementPlan!$B:$B,RetirementPlan!$N:$N,""),LET(cid,$A324,c,FILTER(LocationPlan!$D:$D,LocationPlan!$C:$C=cid),p,FILTER(LocationPlan!$E:$E,LocationPlan!$C:$C=cid),IFERROR(INDEX(c,MATCH(MAX(p),p,0)),""))))</f>
        <v/>
      </c>
    </row>
    <row r="325">
      <c r="B325">
        <f>IF($A325="","",XLOOKUP($A325,Clients!$A:$A,Clients!$D:$D)&amp;" "&amp;XLOOKUP($A325,Clients!$A:$A,Clients!$E:$E))</f>
        <v/>
      </c>
      <c r="C325">
        <f>IF($A325="","",DATEDIF(XLOOKUP($A325,Clients!$A:$A,Clients!$F:$F),VAL_DATE,"Y"))</f>
        <v/>
      </c>
      <c r="D325">
        <f>IF(OR($A325="",E325=""),"",E325-C325)</f>
        <v/>
      </c>
      <c r="E325">
        <f>IF($A325="","",XLOOKUP($A325,RetirementPlan!$B:$B,RetirementPlan!$C:$C,""))</f>
        <v/>
      </c>
      <c r="F325" s="9">
        <f>IF(OR($A325="",D325=""),"",FV(IF(IFERROR(XLOOKUP($A325,RetirementPlan!$B:$B,RetirementPlan!$K:$K,""),"")="",GROWTH,IFERROR(XLOOKUP($A325,RetirementPlan!$B:$B,RetirementPlan!$K:$K,""),"")),D325,-N(XLOOKUP($A325,RetirementPlan!$B:$B,RetirementPlan!$I:$I,0)),-SUMIFS(Assets!$J:$J,Assets!$B:$B,$A325,Assets!$R:$R,"Yes"),0))</f>
        <v/>
      </c>
      <c r="G325" s="9">
        <f>IF(OR($A325="",I325=""),"",MAX(0,(I325-J325)/IF(IFERROR(XLOOKUP($A325,RetirementPlan!$B:$B,RetirementPlan!$M:$M,""),"")="",SWR,IFERROR(XLOOKUP($A325,RetirementPlan!$B:$B,RetirementPlan!$M:$M,""),""))))</f>
        <v/>
      </c>
      <c r="H325" s="9">
        <f>IF(OR($A325="",F325="",G325=""),"",F325-G325)</f>
        <v/>
      </c>
      <c r="I325" s="9">
        <f>IF($A325="","",XLOOKUP($A325,RetirementPlan!$B:$B,RetirementPlan!$E:$E,""))</f>
        <v/>
      </c>
      <c r="J325" s="9">
        <f>IF($A325="","",N(XLOOKUP($A325,RetirementPlan!$B:$B,RetirementPlan!$G:$G,0))+N(XLOOKUP($A325,RetirementPlan!$B:$B,RetirementPlan!$H:$H,0)))</f>
        <v/>
      </c>
      <c r="K325">
        <f>IF($A325="","",IF(NOT(ISBLANK(XLOOKUP($A325,RetirementPlan!$B:$B,RetirementPlan!$N:$N,""))),XLOOKUP($A325,RetirementPlan!$B:$B,RetirementPlan!$N:$N,""),LET(cid,$A325,c,FILTER(LocationPlan!$D:$D,LocationPlan!$C:$C=cid),p,FILTER(LocationPlan!$E:$E,LocationPlan!$C:$C=cid),IFERROR(INDEX(c,MATCH(MAX(p),p,0)),""))))</f>
        <v/>
      </c>
    </row>
    <row r="326">
      <c r="B326">
        <f>IF($A326="","",XLOOKUP($A326,Clients!$A:$A,Clients!$D:$D)&amp;" "&amp;XLOOKUP($A326,Clients!$A:$A,Clients!$E:$E))</f>
        <v/>
      </c>
      <c r="C326">
        <f>IF($A326="","",DATEDIF(XLOOKUP($A326,Clients!$A:$A,Clients!$F:$F),VAL_DATE,"Y"))</f>
        <v/>
      </c>
      <c r="D326">
        <f>IF(OR($A326="",E326=""),"",E326-C326)</f>
        <v/>
      </c>
      <c r="E326">
        <f>IF($A326="","",XLOOKUP($A326,RetirementPlan!$B:$B,RetirementPlan!$C:$C,""))</f>
        <v/>
      </c>
      <c r="F326" s="9">
        <f>IF(OR($A326="",D326=""),"",FV(IF(IFERROR(XLOOKUP($A326,RetirementPlan!$B:$B,RetirementPlan!$K:$K,""),"")="",GROWTH,IFERROR(XLOOKUP($A326,RetirementPlan!$B:$B,RetirementPlan!$K:$K,""),"")),D326,-N(XLOOKUP($A326,RetirementPlan!$B:$B,RetirementPlan!$I:$I,0)),-SUMIFS(Assets!$J:$J,Assets!$B:$B,$A326,Assets!$R:$R,"Yes"),0))</f>
        <v/>
      </c>
      <c r="G326" s="9">
        <f>IF(OR($A326="",I326=""),"",MAX(0,(I326-J326)/IF(IFERROR(XLOOKUP($A326,RetirementPlan!$B:$B,RetirementPlan!$M:$M,""),"")="",SWR,IFERROR(XLOOKUP($A326,RetirementPlan!$B:$B,RetirementPlan!$M:$M,""),""))))</f>
        <v/>
      </c>
      <c r="H326" s="9">
        <f>IF(OR($A326="",F326="",G326=""),"",F326-G326)</f>
        <v/>
      </c>
      <c r="I326" s="9">
        <f>IF($A326="","",XLOOKUP($A326,RetirementPlan!$B:$B,RetirementPlan!$E:$E,""))</f>
        <v/>
      </c>
      <c r="J326" s="9">
        <f>IF($A326="","",N(XLOOKUP($A326,RetirementPlan!$B:$B,RetirementPlan!$G:$G,0))+N(XLOOKUP($A326,RetirementPlan!$B:$B,RetirementPlan!$H:$H,0)))</f>
        <v/>
      </c>
      <c r="K326">
        <f>IF($A326="","",IF(NOT(ISBLANK(XLOOKUP($A326,RetirementPlan!$B:$B,RetirementPlan!$N:$N,""))),XLOOKUP($A326,RetirementPlan!$B:$B,RetirementPlan!$N:$N,""),LET(cid,$A326,c,FILTER(LocationPlan!$D:$D,LocationPlan!$C:$C=cid),p,FILTER(LocationPlan!$E:$E,LocationPlan!$C:$C=cid),IFERROR(INDEX(c,MATCH(MAX(p),p,0)),""))))</f>
        <v/>
      </c>
    </row>
    <row r="327">
      <c r="B327">
        <f>IF($A327="","",XLOOKUP($A327,Clients!$A:$A,Clients!$D:$D)&amp;" "&amp;XLOOKUP($A327,Clients!$A:$A,Clients!$E:$E))</f>
        <v/>
      </c>
      <c r="C327">
        <f>IF($A327="","",DATEDIF(XLOOKUP($A327,Clients!$A:$A,Clients!$F:$F),VAL_DATE,"Y"))</f>
        <v/>
      </c>
      <c r="D327">
        <f>IF(OR($A327="",E327=""),"",E327-C327)</f>
        <v/>
      </c>
      <c r="E327">
        <f>IF($A327="","",XLOOKUP($A327,RetirementPlan!$B:$B,RetirementPlan!$C:$C,""))</f>
        <v/>
      </c>
      <c r="F327" s="9">
        <f>IF(OR($A327="",D327=""),"",FV(IF(IFERROR(XLOOKUP($A327,RetirementPlan!$B:$B,RetirementPlan!$K:$K,""),"")="",GROWTH,IFERROR(XLOOKUP($A327,RetirementPlan!$B:$B,RetirementPlan!$K:$K,""),"")),D327,-N(XLOOKUP($A327,RetirementPlan!$B:$B,RetirementPlan!$I:$I,0)),-SUMIFS(Assets!$J:$J,Assets!$B:$B,$A327,Assets!$R:$R,"Yes"),0))</f>
        <v/>
      </c>
      <c r="G327" s="9">
        <f>IF(OR($A327="",I327=""),"",MAX(0,(I327-J327)/IF(IFERROR(XLOOKUP($A327,RetirementPlan!$B:$B,RetirementPlan!$M:$M,""),"")="",SWR,IFERROR(XLOOKUP($A327,RetirementPlan!$B:$B,RetirementPlan!$M:$M,""),""))))</f>
        <v/>
      </c>
      <c r="H327" s="9">
        <f>IF(OR($A327="",F327="",G327=""),"",F327-G327)</f>
        <v/>
      </c>
      <c r="I327" s="9">
        <f>IF($A327="","",XLOOKUP($A327,RetirementPlan!$B:$B,RetirementPlan!$E:$E,""))</f>
        <v/>
      </c>
      <c r="J327" s="9">
        <f>IF($A327="","",N(XLOOKUP($A327,RetirementPlan!$B:$B,RetirementPlan!$G:$G,0))+N(XLOOKUP($A327,RetirementPlan!$B:$B,RetirementPlan!$H:$H,0)))</f>
        <v/>
      </c>
      <c r="K327">
        <f>IF($A327="","",IF(NOT(ISBLANK(XLOOKUP($A327,RetirementPlan!$B:$B,RetirementPlan!$N:$N,""))),XLOOKUP($A327,RetirementPlan!$B:$B,RetirementPlan!$N:$N,""),LET(cid,$A327,c,FILTER(LocationPlan!$D:$D,LocationPlan!$C:$C=cid),p,FILTER(LocationPlan!$E:$E,LocationPlan!$C:$C=cid),IFERROR(INDEX(c,MATCH(MAX(p),p,0)),""))))</f>
        <v/>
      </c>
    </row>
    <row r="328">
      <c r="B328">
        <f>IF($A328="","",XLOOKUP($A328,Clients!$A:$A,Clients!$D:$D)&amp;" "&amp;XLOOKUP($A328,Clients!$A:$A,Clients!$E:$E))</f>
        <v/>
      </c>
      <c r="C328">
        <f>IF($A328="","",DATEDIF(XLOOKUP($A328,Clients!$A:$A,Clients!$F:$F),VAL_DATE,"Y"))</f>
        <v/>
      </c>
      <c r="D328">
        <f>IF(OR($A328="",E328=""),"",E328-C328)</f>
        <v/>
      </c>
      <c r="E328">
        <f>IF($A328="","",XLOOKUP($A328,RetirementPlan!$B:$B,RetirementPlan!$C:$C,""))</f>
        <v/>
      </c>
      <c r="F328" s="9">
        <f>IF(OR($A328="",D328=""),"",FV(IF(IFERROR(XLOOKUP($A328,RetirementPlan!$B:$B,RetirementPlan!$K:$K,""),"")="",GROWTH,IFERROR(XLOOKUP($A328,RetirementPlan!$B:$B,RetirementPlan!$K:$K,""),"")),D328,-N(XLOOKUP($A328,RetirementPlan!$B:$B,RetirementPlan!$I:$I,0)),-SUMIFS(Assets!$J:$J,Assets!$B:$B,$A328,Assets!$R:$R,"Yes"),0))</f>
        <v/>
      </c>
      <c r="G328" s="9">
        <f>IF(OR($A328="",I328=""),"",MAX(0,(I328-J328)/IF(IFERROR(XLOOKUP($A328,RetirementPlan!$B:$B,RetirementPlan!$M:$M,""),"")="",SWR,IFERROR(XLOOKUP($A328,RetirementPlan!$B:$B,RetirementPlan!$M:$M,""),""))))</f>
        <v/>
      </c>
      <c r="H328" s="9">
        <f>IF(OR($A328="",F328="",G328=""),"",F328-G328)</f>
        <v/>
      </c>
      <c r="I328" s="9">
        <f>IF($A328="","",XLOOKUP($A328,RetirementPlan!$B:$B,RetirementPlan!$E:$E,""))</f>
        <v/>
      </c>
      <c r="J328" s="9">
        <f>IF($A328="","",N(XLOOKUP($A328,RetirementPlan!$B:$B,RetirementPlan!$G:$G,0))+N(XLOOKUP($A328,RetirementPlan!$B:$B,RetirementPlan!$H:$H,0)))</f>
        <v/>
      </c>
      <c r="K328">
        <f>IF($A328="","",IF(NOT(ISBLANK(XLOOKUP($A328,RetirementPlan!$B:$B,RetirementPlan!$N:$N,""))),XLOOKUP($A328,RetirementPlan!$B:$B,RetirementPlan!$N:$N,""),LET(cid,$A328,c,FILTER(LocationPlan!$D:$D,LocationPlan!$C:$C=cid),p,FILTER(LocationPlan!$E:$E,LocationPlan!$C:$C=cid),IFERROR(INDEX(c,MATCH(MAX(p),p,0)),""))))</f>
        <v/>
      </c>
    </row>
    <row r="329">
      <c r="B329">
        <f>IF($A329="","",XLOOKUP($A329,Clients!$A:$A,Clients!$D:$D)&amp;" "&amp;XLOOKUP($A329,Clients!$A:$A,Clients!$E:$E))</f>
        <v/>
      </c>
      <c r="C329">
        <f>IF($A329="","",DATEDIF(XLOOKUP($A329,Clients!$A:$A,Clients!$F:$F),VAL_DATE,"Y"))</f>
        <v/>
      </c>
      <c r="D329">
        <f>IF(OR($A329="",E329=""),"",E329-C329)</f>
        <v/>
      </c>
      <c r="E329">
        <f>IF($A329="","",XLOOKUP($A329,RetirementPlan!$B:$B,RetirementPlan!$C:$C,""))</f>
        <v/>
      </c>
      <c r="F329" s="9">
        <f>IF(OR($A329="",D329=""),"",FV(IF(IFERROR(XLOOKUP($A329,RetirementPlan!$B:$B,RetirementPlan!$K:$K,""),"")="",GROWTH,IFERROR(XLOOKUP($A329,RetirementPlan!$B:$B,RetirementPlan!$K:$K,""),"")),D329,-N(XLOOKUP($A329,RetirementPlan!$B:$B,RetirementPlan!$I:$I,0)),-SUMIFS(Assets!$J:$J,Assets!$B:$B,$A329,Assets!$R:$R,"Yes"),0))</f>
        <v/>
      </c>
      <c r="G329" s="9">
        <f>IF(OR($A329="",I329=""),"",MAX(0,(I329-J329)/IF(IFERROR(XLOOKUP($A329,RetirementPlan!$B:$B,RetirementPlan!$M:$M,""),"")="",SWR,IFERROR(XLOOKUP($A329,RetirementPlan!$B:$B,RetirementPlan!$M:$M,""),""))))</f>
        <v/>
      </c>
      <c r="H329" s="9">
        <f>IF(OR($A329="",F329="",G329=""),"",F329-G329)</f>
        <v/>
      </c>
      <c r="I329" s="9">
        <f>IF($A329="","",XLOOKUP($A329,RetirementPlan!$B:$B,RetirementPlan!$E:$E,""))</f>
        <v/>
      </c>
      <c r="J329" s="9">
        <f>IF($A329="","",N(XLOOKUP($A329,RetirementPlan!$B:$B,RetirementPlan!$G:$G,0))+N(XLOOKUP($A329,RetirementPlan!$B:$B,RetirementPlan!$H:$H,0)))</f>
        <v/>
      </c>
      <c r="K329">
        <f>IF($A329="","",IF(NOT(ISBLANK(XLOOKUP($A329,RetirementPlan!$B:$B,RetirementPlan!$N:$N,""))),XLOOKUP($A329,RetirementPlan!$B:$B,RetirementPlan!$N:$N,""),LET(cid,$A329,c,FILTER(LocationPlan!$D:$D,LocationPlan!$C:$C=cid),p,FILTER(LocationPlan!$E:$E,LocationPlan!$C:$C=cid),IFERROR(INDEX(c,MATCH(MAX(p),p,0)),""))))</f>
        <v/>
      </c>
    </row>
    <row r="330">
      <c r="B330">
        <f>IF($A330="","",XLOOKUP($A330,Clients!$A:$A,Clients!$D:$D)&amp;" "&amp;XLOOKUP($A330,Clients!$A:$A,Clients!$E:$E))</f>
        <v/>
      </c>
      <c r="C330">
        <f>IF($A330="","",DATEDIF(XLOOKUP($A330,Clients!$A:$A,Clients!$F:$F),VAL_DATE,"Y"))</f>
        <v/>
      </c>
      <c r="D330">
        <f>IF(OR($A330="",E330=""),"",E330-C330)</f>
        <v/>
      </c>
      <c r="E330">
        <f>IF($A330="","",XLOOKUP($A330,RetirementPlan!$B:$B,RetirementPlan!$C:$C,""))</f>
        <v/>
      </c>
      <c r="F330" s="9">
        <f>IF(OR($A330="",D330=""),"",FV(IF(IFERROR(XLOOKUP($A330,RetirementPlan!$B:$B,RetirementPlan!$K:$K,""),"")="",GROWTH,IFERROR(XLOOKUP($A330,RetirementPlan!$B:$B,RetirementPlan!$K:$K,""),"")),D330,-N(XLOOKUP($A330,RetirementPlan!$B:$B,RetirementPlan!$I:$I,0)),-SUMIFS(Assets!$J:$J,Assets!$B:$B,$A330,Assets!$R:$R,"Yes"),0))</f>
        <v/>
      </c>
      <c r="G330" s="9">
        <f>IF(OR($A330="",I330=""),"",MAX(0,(I330-J330)/IF(IFERROR(XLOOKUP($A330,RetirementPlan!$B:$B,RetirementPlan!$M:$M,""),"")="",SWR,IFERROR(XLOOKUP($A330,RetirementPlan!$B:$B,RetirementPlan!$M:$M,""),""))))</f>
        <v/>
      </c>
      <c r="H330" s="9">
        <f>IF(OR($A330="",F330="",G330=""),"",F330-G330)</f>
        <v/>
      </c>
      <c r="I330" s="9">
        <f>IF($A330="","",XLOOKUP($A330,RetirementPlan!$B:$B,RetirementPlan!$E:$E,""))</f>
        <v/>
      </c>
      <c r="J330" s="9">
        <f>IF($A330="","",N(XLOOKUP($A330,RetirementPlan!$B:$B,RetirementPlan!$G:$G,0))+N(XLOOKUP($A330,RetirementPlan!$B:$B,RetirementPlan!$H:$H,0)))</f>
        <v/>
      </c>
      <c r="K330">
        <f>IF($A330="","",IF(NOT(ISBLANK(XLOOKUP($A330,RetirementPlan!$B:$B,RetirementPlan!$N:$N,""))),XLOOKUP($A330,RetirementPlan!$B:$B,RetirementPlan!$N:$N,""),LET(cid,$A330,c,FILTER(LocationPlan!$D:$D,LocationPlan!$C:$C=cid),p,FILTER(LocationPlan!$E:$E,LocationPlan!$C:$C=cid),IFERROR(INDEX(c,MATCH(MAX(p),p,0)),""))))</f>
        <v/>
      </c>
    </row>
    <row r="331">
      <c r="B331">
        <f>IF($A331="","",XLOOKUP($A331,Clients!$A:$A,Clients!$D:$D)&amp;" "&amp;XLOOKUP($A331,Clients!$A:$A,Clients!$E:$E))</f>
        <v/>
      </c>
      <c r="C331">
        <f>IF($A331="","",DATEDIF(XLOOKUP($A331,Clients!$A:$A,Clients!$F:$F),VAL_DATE,"Y"))</f>
        <v/>
      </c>
      <c r="D331">
        <f>IF(OR($A331="",E331=""),"",E331-C331)</f>
        <v/>
      </c>
      <c r="E331">
        <f>IF($A331="","",XLOOKUP($A331,RetirementPlan!$B:$B,RetirementPlan!$C:$C,""))</f>
        <v/>
      </c>
      <c r="F331" s="9">
        <f>IF(OR($A331="",D331=""),"",FV(IF(IFERROR(XLOOKUP($A331,RetirementPlan!$B:$B,RetirementPlan!$K:$K,""),"")="",GROWTH,IFERROR(XLOOKUP($A331,RetirementPlan!$B:$B,RetirementPlan!$K:$K,""),"")),D331,-N(XLOOKUP($A331,RetirementPlan!$B:$B,RetirementPlan!$I:$I,0)),-SUMIFS(Assets!$J:$J,Assets!$B:$B,$A331,Assets!$R:$R,"Yes"),0))</f>
        <v/>
      </c>
      <c r="G331" s="9">
        <f>IF(OR($A331="",I331=""),"",MAX(0,(I331-J331)/IF(IFERROR(XLOOKUP($A331,RetirementPlan!$B:$B,RetirementPlan!$M:$M,""),"")="",SWR,IFERROR(XLOOKUP($A331,RetirementPlan!$B:$B,RetirementPlan!$M:$M,""),""))))</f>
        <v/>
      </c>
      <c r="H331" s="9">
        <f>IF(OR($A331="",F331="",G331=""),"",F331-G331)</f>
        <v/>
      </c>
      <c r="I331" s="9">
        <f>IF($A331="","",XLOOKUP($A331,RetirementPlan!$B:$B,RetirementPlan!$E:$E,""))</f>
        <v/>
      </c>
      <c r="J331" s="9">
        <f>IF($A331="","",N(XLOOKUP($A331,RetirementPlan!$B:$B,RetirementPlan!$G:$G,0))+N(XLOOKUP($A331,RetirementPlan!$B:$B,RetirementPlan!$H:$H,0)))</f>
        <v/>
      </c>
      <c r="K331">
        <f>IF($A331="","",IF(NOT(ISBLANK(XLOOKUP($A331,RetirementPlan!$B:$B,RetirementPlan!$N:$N,""))),XLOOKUP($A331,RetirementPlan!$B:$B,RetirementPlan!$N:$N,""),LET(cid,$A331,c,FILTER(LocationPlan!$D:$D,LocationPlan!$C:$C=cid),p,FILTER(LocationPlan!$E:$E,LocationPlan!$C:$C=cid),IFERROR(INDEX(c,MATCH(MAX(p),p,0)),""))))</f>
        <v/>
      </c>
    </row>
    <row r="332">
      <c r="B332">
        <f>IF($A332="","",XLOOKUP($A332,Clients!$A:$A,Clients!$D:$D)&amp;" "&amp;XLOOKUP($A332,Clients!$A:$A,Clients!$E:$E))</f>
        <v/>
      </c>
      <c r="C332">
        <f>IF($A332="","",DATEDIF(XLOOKUP($A332,Clients!$A:$A,Clients!$F:$F),VAL_DATE,"Y"))</f>
        <v/>
      </c>
      <c r="D332">
        <f>IF(OR($A332="",E332=""),"",E332-C332)</f>
        <v/>
      </c>
      <c r="E332">
        <f>IF($A332="","",XLOOKUP($A332,RetirementPlan!$B:$B,RetirementPlan!$C:$C,""))</f>
        <v/>
      </c>
      <c r="F332" s="9">
        <f>IF(OR($A332="",D332=""),"",FV(IF(IFERROR(XLOOKUP($A332,RetirementPlan!$B:$B,RetirementPlan!$K:$K,""),"")="",GROWTH,IFERROR(XLOOKUP($A332,RetirementPlan!$B:$B,RetirementPlan!$K:$K,""),"")),D332,-N(XLOOKUP($A332,RetirementPlan!$B:$B,RetirementPlan!$I:$I,0)),-SUMIFS(Assets!$J:$J,Assets!$B:$B,$A332,Assets!$R:$R,"Yes"),0))</f>
        <v/>
      </c>
      <c r="G332" s="9">
        <f>IF(OR($A332="",I332=""),"",MAX(0,(I332-J332)/IF(IFERROR(XLOOKUP($A332,RetirementPlan!$B:$B,RetirementPlan!$M:$M,""),"")="",SWR,IFERROR(XLOOKUP($A332,RetirementPlan!$B:$B,RetirementPlan!$M:$M,""),""))))</f>
        <v/>
      </c>
      <c r="H332" s="9">
        <f>IF(OR($A332="",F332="",G332=""),"",F332-G332)</f>
        <v/>
      </c>
      <c r="I332" s="9">
        <f>IF($A332="","",XLOOKUP($A332,RetirementPlan!$B:$B,RetirementPlan!$E:$E,""))</f>
        <v/>
      </c>
      <c r="J332" s="9">
        <f>IF($A332="","",N(XLOOKUP($A332,RetirementPlan!$B:$B,RetirementPlan!$G:$G,0))+N(XLOOKUP($A332,RetirementPlan!$B:$B,RetirementPlan!$H:$H,0)))</f>
        <v/>
      </c>
      <c r="K332">
        <f>IF($A332="","",IF(NOT(ISBLANK(XLOOKUP($A332,RetirementPlan!$B:$B,RetirementPlan!$N:$N,""))),XLOOKUP($A332,RetirementPlan!$B:$B,RetirementPlan!$N:$N,""),LET(cid,$A332,c,FILTER(LocationPlan!$D:$D,LocationPlan!$C:$C=cid),p,FILTER(LocationPlan!$E:$E,LocationPlan!$C:$C=cid),IFERROR(INDEX(c,MATCH(MAX(p),p,0)),""))))</f>
        <v/>
      </c>
    </row>
    <row r="333">
      <c r="B333">
        <f>IF($A333="","",XLOOKUP($A333,Clients!$A:$A,Clients!$D:$D)&amp;" "&amp;XLOOKUP($A333,Clients!$A:$A,Clients!$E:$E))</f>
        <v/>
      </c>
      <c r="C333">
        <f>IF($A333="","",DATEDIF(XLOOKUP($A333,Clients!$A:$A,Clients!$F:$F),VAL_DATE,"Y"))</f>
        <v/>
      </c>
      <c r="D333">
        <f>IF(OR($A333="",E333=""),"",E333-C333)</f>
        <v/>
      </c>
      <c r="E333">
        <f>IF($A333="","",XLOOKUP($A333,RetirementPlan!$B:$B,RetirementPlan!$C:$C,""))</f>
        <v/>
      </c>
      <c r="F333" s="9">
        <f>IF(OR($A333="",D333=""),"",FV(IF(IFERROR(XLOOKUP($A333,RetirementPlan!$B:$B,RetirementPlan!$K:$K,""),"")="",GROWTH,IFERROR(XLOOKUP($A333,RetirementPlan!$B:$B,RetirementPlan!$K:$K,""),"")),D333,-N(XLOOKUP($A333,RetirementPlan!$B:$B,RetirementPlan!$I:$I,0)),-SUMIFS(Assets!$J:$J,Assets!$B:$B,$A333,Assets!$R:$R,"Yes"),0))</f>
        <v/>
      </c>
      <c r="G333" s="9">
        <f>IF(OR($A333="",I333=""),"",MAX(0,(I333-J333)/IF(IFERROR(XLOOKUP($A333,RetirementPlan!$B:$B,RetirementPlan!$M:$M,""),"")="",SWR,IFERROR(XLOOKUP($A333,RetirementPlan!$B:$B,RetirementPlan!$M:$M,""),""))))</f>
        <v/>
      </c>
      <c r="H333" s="9">
        <f>IF(OR($A333="",F333="",G333=""),"",F333-G333)</f>
        <v/>
      </c>
      <c r="I333" s="9">
        <f>IF($A333="","",XLOOKUP($A333,RetirementPlan!$B:$B,RetirementPlan!$E:$E,""))</f>
        <v/>
      </c>
      <c r="J333" s="9">
        <f>IF($A333="","",N(XLOOKUP($A333,RetirementPlan!$B:$B,RetirementPlan!$G:$G,0))+N(XLOOKUP($A333,RetirementPlan!$B:$B,RetirementPlan!$H:$H,0)))</f>
        <v/>
      </c>
      <c r="K333">
        <f>IF($A333="","",IF(NOT(ISBLANK(XLOOKUP($A333,RetirementPlan!$B:$B,RetirementPlan!$N:$N,""))),XLOOKUP($A333,RetirementPlan!$B:$B,RetirementPlan!$N:$N,""),LET(cid,$A333,c,FILTER(LocationPlan!$D:$D,LocationPlan!$C:$C=cid),p,FILTER(LocationPlan!$E:$E,LocationPlan!$C:$C=cid),IFERROR(INDEX(c,MATCH(MAX(p),p,0)),""))))</f>
        <v/>
      </c>
    </row>
    <row r="334">
      <c r="B334">
        <f>IF($A334="","",XLOOKUP($A334,Clients!$A:$A,Clients!$D:$D)&amp;" "&amp;XLOOKUP($A334,Clients!$A:$A,Clients!$E:$E))</f>
        <v/>
      </c>
      <c r="C334">
        <f>IF($A334="","",DATEDIF(XLOOKUP($A334,Clients!$A:$A,Clients!$F:$F),VAL_DATE,"Y"))</f>
        <v/>
      </c>
      <c r="D334">
        <f>IF(OR($A334="",E334=""),"",E334-C334)</f>
        <v/>
      </c>
      <c r="E334">
        <f>IF($A334="","",XLOOKUP($A334,RetirementPlan!$B:$B,RetirementPlan!$C:$C,""))</f>
        <v/>
      </c>
      <c r="F334" s="9">
        <f>IF(OR($A334="",D334=""),"",FV(IF(IFERROR(XLOOKUP($A334,RetirementPlan!$B:$B,RetirementPlan!$K:$K,""),"")="",GROWTH,IFERROR(XLOOKUP($A334,RetirementPlan!$B:$B,RetirementPlan!$K:$K,""),"")),D334,-N(XLOOKUP($A334,RetirementPlan!$B:$B,RetirementPlan!$I:$I,0)),-SUMIFS(Assets!$J:$J,Assets!$B:$B,$A334,Assets!$R:$R,"Yes"),0))</f>
        <v/>
      </c>
      <c r="G334" s="9">
        <f>IF(OR($A334="",I334=""),"",MAX(0,(I334-J334)/IF(IFERROR(XLOOKUP($A334,RetirementPlan!$B:$B,RetirementPlan!$M:$M,""),"")="",SWR,IFERROR(XLOOKUP($A334,RetirementPlan!$B:$B,RetirementPlan!$M:$M,""),""))))</f>
        <v/>
      </c>
      <c r="H334" s="9">
        <f>IF(OR($A334="",F334="",G334=""),"",F334-G334)</f>
        <v/>
      </c>
      <c r="I334" s="9">
        <f>IF($A334="","",XLOOKUP($A334,RetirementPlan!$B:$B,RetirementPlan!$E:$E,""))</f>
        <v/>
      </c>
      <c r="J334" s="9">
        <f>IF($A334="","",N(XLOOKUP($A334,RetirementPlan!$B:$B,RetirementPlan!$G:$G,0))+N(XLOOKUP($A334,RetirementPlan!$B:$B,RetirementPlan!$H:$H,0)))</f>
        <v/>
      </c>
      <c r="K334">
        <f>IF($A334="","",IF(NOT(ISBLANK(XLOOKUP($A334,RetirementPlan!$B:$B,RetirementPlan!$N:$N,""))),XLOOKUP($A334,RetirementPlan!$B:$B,RetirementPlan!$N:$N,""),LET(cid,$A334,c,FILTER(LocationPlan!$D:$D,LocationPlan!$C:$C=cid),p,FILTER(LocationPlan!$E:$E,LocationPlan!$C:$C=cid),IFERROR(INDEX(c,MATCH(MAX(p),p,0)),""))))</f>
        <v/>
      </c>
    </row>
    <row r="335">
      <c r="B335">
        <f>IF($A335="","",XLOOKUP($A335,Clients!$A:$A,Clients!$D:$D)&amp;" "&amp;XLOOKUP($A335,Clients!$A:$A,Clients!$E:$E))</f>
        <v/>
      </c>
      <c r="C335">
        <f>IF($A335="","",DATEDIF(XLOOKUP($A335,Clients!$A:$A,Clients!$F:$F),VAL_DATE,"Y"))</f>
        <v/>
      </c>
      <c r="D335">
        <f>IF(OR($A335="",E335=""),"",E335-C335)</f>
        <v/>
      </c>
      <c r="E335">
        <f>IF($A335="","",XLOOKUP($A335,RetirementPlan!$B:$B,RetirementPlan!$C:$C,""))</f>
        <v/>
      </c>
      <c r="F335" s="9">
        <f>IF(OR($A335="",D335=""),"",FV(IF(IFERROR(XLOOKUP($A335,RetirementPlan!$B:$B,RetirementPlan!$K:$K,""),"")="",GROWTH,IFERROR(XLOOKUP($A335,RetirementPlan!$B:$B,RetirementPlan!$K:$K,""),"")),D335,-N(XLOOKUP($A335,RetirementPlan!$B:$B,RetirementPlan!$I:$I,0)),-SUMIFS(Assets!$J:$J,Assets!$B:$B,$A335,Assets!$R:$R,"Yes"),0))</f>
        <v/>
      </c>
      <c r="G335" s="9">
        <f>IF(OR($A335="",I335=""),"",MAX(0,(I335-J335)/IF(IFERROR(XLOOKUP($A335,RetirementPlan!$B:$B,RetirementPlan!$M:$M,""),"")="",SWR,IFERROR(XLOOKUP($A335,RetirementPlan!$B:$B,RetirementPlan!$M:$M,""),""))))</f>
        <v/>
      </c>
      <c r="H335" s="9">
        <f>IF(OR($A335="",F335="",G335=""),"",F335-G335)</f>
        <v/>
      </c>
      <c r="I335" s="9">
        <f>IF($A335="","",XLOOKUP($A335,RetirementPlan!$B:$B,RetirementPlan!$E:$E,""))</f>
        <v/>
      </c>
      <c r="J335" s="9">
        <f>IF($A335="","",N(XLOOKUP($A335,RetirementPlan!$B:$B,RetirementPlan!$G:$G,0))+N(XLOOKUP($A335,RetirementPlan!$B:$B,RetirementPlan!$H:$H,0)))</f>
        <v/>
      </c>
      <c r="K335">
        <f>IF($A335="","",IF(NOT(ISBLANK(XLOOKUP($A335,RetirementPlan!$B:$B,RetirementPlan!$N:$N,""))),XLOOKUP($A335,RetirementPlan!$B:$B,RetirementPlan!$N:$N,""),LET(cid,$A335,c,FILTER(LocationPlan!$D:$D,LocationPlan!$C:$C=cid),p,FILTER(LocationPlan!$E:$E,LocationPlan!$C:$C=cid),IFERROR(INDEX(c,MATCH(MAX(p),p,0)),""))))</f>
        <v/>
      </c>
    </row>
    <row r="336">
      <c r="B336">
        <f>IF($A336="","",XLOOKUP($A336,Clients!$A:$A,Clients!$D:$D)&amp;" "&amp;XLOOKUP($A336,Clients!$A:$A,Clients!$E:$E))</f>
        <v/>
      </c>
      <c r="C336">
        <f>IF($A336="","",DATEDIF(XLOOKUP($A336,Clients!$A:$A,Clients!$F:$F),VAL_DATE,"Y"))</f>
        <v/>
      </c>
      <c r="D336">
        <f>IF(OR($A336="",E336=""),"",E336-C336)</f>
        <v/>
      </c>
      <c r="E336">
        <f>IF($A336="","",XLOOKUP($A336,RetirementPlan!$B:$B,RetirementPlan!$C:$C,""))</f>
        <v/>
      </c>
      <c r="F336" s="9">
        <f>IF(OR($A336="",D336=""),"",FV(IF(IFERROR(XLOOKUP($A336,RetirementPlan!$B:$B,RetirementPlan!$K:$K,""),"")="",GROWTH,IFERROR(XLOOKUP($A336,RetirementPlan!$B:$B,RetirementPlan!$K:$K,""),"")),D336,-N(XLOOKUP($A336,RetirementPlan!$B:$B,RetirementPlan!$I:$I,0)),-SUMIFS(Assets!$J:$J,Assets!$B:$B,$A336,Assets!$R:$R,"Yes"),0))</f>
        <v/>
      </c>
      <c r="G336" s="9">
        <f>IF(OR($A336="",I336=""),"",MAX(0,(I336-J336)/IF(IFERROR(XLOOKUP($A336,RetirementPlan!$B:$B,RetirementPlan!$M:$M,""),"")="",SWR,IFERROR(XLOOKUP($A336,RetirementPlan!$B:$B,RetirementPlan!$M:$M,""),""))))</f>
        <v/>
      </c>
      <c r="H336" s="9">
        <f>IF(OR($A336="",F336="",G336=""),"",F336-G336)</f>
        <v/>
      </c>
      <c r="I336" s="9">
        <f>IF($A336="","",XLOOKUP($A336,RetirementPlan!$B:$B,RetirementPlan!$E:$E,""))</f>
        <v/>
      </c>
      <c r="J336" s="9">
        <f>IF($A336="","",N(XLOOKUP($A336,RetirementPlan!$B:$B,RetirementPlan!$G:$G,0))+N(XLOOKUP($A336,RetirementPlan!$B:$B,RetirementPlan!$H:$H,0)))</f>
        <v/>
      </c>
      <c r="K336">
        <f>IF($A336="","",IF(NOT(ISBLANK(XLOOKUP($A336,RetirementPlan!$B:$B,RetirementPlan!$N:$N,""))),XLOOKUP($A336,RetirementPlan!$B:$B,RetirementPlan!$N:$N,""),LET(cid,$A336,c,FILTER(LocationPlan!$D:$D,LocationPlan!$C:$C=cid),p,FILTER(LocationPlan!$E:$E,LocationPlan!$C:$C=cid),IFERROR(INDEX(c,MATCH(MAX(p),p,0)),""))))</f>
        <v/>
      </c>
    </row>
    <row r="337">
      <c r="B337">
        <f>IF($A337="","",XLOOKUP($A337,Clients!$A:$A,Clients!$D:$D)&amp;" "&amp;XLOOKUP($A337,Clients!$A:$A,Clients!$E:$E))</f>
        <v/>
      </c>
      <c r="C337">
        <f>IF($A337="","",DATEDIF(XLOOKUP($A337,Clients!$A:$A,Clients!$F:$F),VAL_DATE,"Y"))</f>
        <v/>
      </c>
      <c r="D337">
        <f>IF(OR($A337="",E337=""),"",E337-C337)</f>
        <v/>
      </c>
      <c r="E337">
        <f>IF($A337="","",XLOOKUP($A337,RetirementPlan!$B:$B,RetirementPlan!$C:$C,""))</f>
        <v/>
      </c>
      <c r="F337" s="9">
        <f>IF(OR($A337="",D337=""),"",FV(IF(IFERROR(XLOOKUP($A337,RetirementPlan!$B:$B,RetirementPlan!$K:$K,""),"")="",GROWTH,IFERROR(XLOOKUP($A337,RetirementPlan!$B:$B,RetirementPlan!$K:$K,""),"")),D337,-N(XLOOKUP($A337,RetirementPlan!$B:$B,RetirementPlan!$I:$I,0)),-SUMIFS(Assets!$J:$J,Assets!$B:$B,$A337,Assets!$R:$R,"Yes"),0))</f>
        <v/>
      </c>
      <c r="G337" s="9">
        <f>IF(OR($A337="",I337=""),"",MAX(0,(I337-J337)/IF(IFERROR(XLOOKUP($A337,RetirementPlan!$B:$B,RetirementPlan!$M:$M,""),"")="",SWR,IFERROR(XLOOKUP($A337,RetirementPlan!$B:$B,RetirementPlan!$M:$M,""),""))))</f>
        <v/>
      </c>
      <c r="H337" s="9">
        <f>IF(OR($A337="",F337="",G337=""),"",F337-G337)</f>
        <v/>
      </c>
      <c r="I337" s="9">
        <f>IF($A337="","",XLOOKUP($A337,RetirementPlan!$B:$B,RetirementPlan!$E:$E,""))</f>
        <v/>
      </c>
      <c r="J337" s="9">
        <f>IF($A337="","",N(XLOOKUP($A337,RetirementPlan!$B:$B,RetirementPlan!$G:$G,0))+N(XLOOKUP($A337,RetirementPlan!$B:$B,RetirementPlan!$H:$H,0)))</f>
        <v/>
      </c>
      <c r="K337">
        <f>IF($A337="","",IF(NOT(ISBLANK(XLOOKUP($A337,RetirementPlan!$B:$B,RetirementPlan!$N:$N,""))),XLOOKUP($A337,RetirementPlan!$B:$B,RetirementPlan!$N:$N,""),LET(cid,$A337,c,FILTER(LocationPlan!$D:$D,LocationPlan!$C:$C=cid),p,FILTER(LocationPlan!$E:$E,LocationPlan!$C:$C=cid),IFERROR(INDEX(c,MATCH(MAX(p),p,0)),""))))</f>
        <v/>
      </c>
    </row>
    <row r="338">
      <c r="B338">
        <f>IF($A338="","",XLOOKUP($A338,Clients!$A:$A,Clients!$D:$D)&amp;" "&amp;XLOOKUP($A338,Clients!$A:$A,Clients!$E:$E))</f>
        <v/>
      </c>
      <c r="C338">
        <f>IF($A338="","",DATEDIF(XLOOKUP($A338,Clients!$A:$A,Clients!$F:$F),VAL_DATE,"Y"))</f>
        <v/>
      </c>
      <c r="D338">
        <f>IF(OR($A338="",E338=""),"",E338-C338)</f>
        <v/>
      </c>
      <c r="E338">
        <f>IF($A338="","",XLOOKUP($A338,RetirementPlan!$B:$B,RetirementPlan!$C:$C,""))</f>
        <v/>
      </c>
      <c r="F338" s="9">
        <f>IF(OR($A338="",D338=""),"",FV(IF(IFERROR(XLOOKUP($A338,RetirementPlan!$B:$B,RetirementPlan!$K:$K,""),"")="",GROWTH,IFERROR(XLOOKUP($A338,RetirementPlan!$B:$B,RetirementPlan!$K:$K,""),"")),D338,-N(XLOOKUP($A338,RetirementPlan!$B:$B,RetirementPlan!$I:$I,0)),-SUMIFS(Assets!$J:$J,Assets!$B:$B,$A338,Assets!$R:$R,"Yes"),0))</f>
        <v/>
      </c>
      <c r="G338" s="9">
        <f>IF(OR($A338="",I338=""),"",MAX(0,(I338-J338)/IF(IFERROR(XLOOKUP($A338,RetirementPlan!$B:$B,RetirementPlan!$M:$M,""),"")="",SWR,IFERROR(XLOOKUP($A338,RetirementPlan!$B:$B,RetirementPlan!$M:$M,""),""))))</f>
        <v/>
      </c>
      <c r="H338" s="9">
        <f>IF(OR($A338="",F338="",G338=""),"",F338-G338)</f>
        <v/>
      </c>
      <c r="I338" s="9">
        <f>IF($A338="","",XLOOKUP($A338,RetirementPlan!$B:$B,RetirementPlan!$E:$E,""))</f>
        <v/>
      </c>
      <c r="J338" s="9">
        <f>IF($A338="","",N(XLOOKUP($A338,RetirementPlan!$B:$B,RetirementPlan!$G:$G,0))+N(XLOOKUP($A338,RetirementPlan!$B:$B,RetirementPlan!$H:$H,0)))</f>
        <v/>
      </c>
      <c r="K338">
        <f>IF($A338="","",IF(NOT(ISBLANK(XLOOKUP($A338,RetirementPlan!$B:$B,RetirementPlan!$N:$N,""))),XLOOKUP($A338,RetirementPlan!$B:$B,RetirementPlan!$N:$N,""),LET(cid,$A338,c,FILTER(LocationPlan!$D:$D,LocationPlan!$C:$C=cid),p,FILTER(LocationPlan!$E:$E,LocationPlan!$C:$C=cid),IFERROR(INDEX(c,MATCH(MAX(p),p,0)),""))))</f>
        <v/>
      </c>
    </row>
    <row r="339">
      <c r="B339">
        <f>IF($A339="","",XLOOKUP($A339,Clients!$A:$A,Clients!$D:$D)&amp;" "&amp;XLOOKUP($A339,Clients!$A:$A,Clients!$E:$E))</f>
        <v/>
      </c>
      <c r="C339">
        <f>IF($A339="","",DATEDIF(XLOOKUP($A339,Clients!$A:$A,Clients!$F:$F),VAL_DATE,"Y"))</f>
        <v/>
      </c>
      <c r="D339">
        <f>IF(OR($A339="",E339=""),"",E339-C339)</f>
        <v/>
      </c>
      <c r="E339">
        <f>IF($A339="","",XLOOKUP($A339,RetirementPlan!$B:$B,RetirementPlan!$C:$C,""))</f>
        <v/>
      </c>
      <c r="F339" s="9">
        <f>IF(OR($A339="",D339=""),"",FV(IF(IFERROR(XLOOKUP($A339,RetirementPlan!$B:$B,RetirementPlan!$K:$K,""),"")="",GROWTH,IFERROR(XLOOKUP($A339,RetirementPlan!$B:$B,RetirementPlan!$K:$K,""),"")),D339,-N(XLOOKUP($A339,RetirementPlan!$B:$B,RetirementPlan!$I:$I,0)),-SUMIFS(Assets!$J:$J,Assets!$B:$B,$A339,Assets!$R:$R,"Yes"),0))</f>
        <v/>
      </c>
      <c r="G339" s="9">
        <f>IF(OR($A339="",I339=""),"",MAX(0,(I339-J339)/IF(IFERROR(XLOOKUP($A339,RetirementPlan!$B:$B,RetirementPlan!$M:$M,""),"")="",SWR,IFERROR(XLOOKUP($A339,RetirementPlan!$B:$B,RetirementPlan!$M:$M,""),""))))</f>
        <v/>
      </c>
      <c r="H339" s="9">
        <f>IF(OR($A339="",F339="",G339=""),"",F339-G339)</f>
        <v/>
      </c>
      <c r="I339" s="9">
        <f>IF($A339="","",XLOOKUP($A339,RetirementPlan!$B:$B,RetirementPlan!$E:$E,""))</f>
        <v/>
      </c>
      <c r="J339" s="9">
        <f>IF($A339="","",N(XLOOKUP($A339,RetirementPlan!$B:$B,RetirementPlan!$G:$G,0))+N(XLOOKUP($A339,RetirementPlan!$B:$B,RetirementPlan!$H:$H,0)))</f>
        <v/>
      </c>
      <c r="K339">
        <f>IF($A339="","",IF(NOT(ISBLANK(XLOOKUP($A339,RetirementPlan!$B:$B,RetirementPlan!$N:$N,""))),XLOOKUP($A339,RetirementPlan!$B:$B,RetirementPlan!$N:$N,""),LET(cid,$A339,c,FILTER(LocationPlan!$D:$D,LocationPlan!$C:$C=cid),p,FILTER(LocationPlan!$E:$E,LocationPlan!$C:$C=cid),IFERROR(INDEX(c,MATCH(MAX(p),p,0)),""))))</f>
        <v/>
      </c>
    </row>
    <row r="340">
      <c r="B340">
        <f>IF($A340="","",XLOOKUP($A340,Clients!$A:$A,Clients!$D:$D)&amp;" "&amp;XLOOKUP($A340,Clients!$A:$A,Clients!$E:$E))</f>
        <v/>
      </c>
      <c r="C340">
        <f>IF($A340="","",DATEDIF(XLOOKUP($A340,Clients!$A:$A,Clients!$F:$F),VAL_DATE,"Y"))</f>
        <v/>
      </c>
      <c r="D340">
        <f>IF(OR($A340="",E340=""),"",E340-C340)</f>
        <v/>
      </c>
      <c r="E340">
        <f>IF($A340="","",XLOOKUP($A340,RetirementPlan!$B:$B,RetirementPlan!$C:$C,""))</f>
        <v/>
      </c>
      <c r="F340" s="9">
        <f>IF(OR($A340="",D340=""),"",FV(IF(IFERROR(XLOOKUP($A340,RetirementPlan!$B:$B,RetirementPlan!$K:$K,""),"")="",GROWTH,IFERROR(XLOOKUP($A340,RetirementPlan!$B:$B,RetirementPlan!$K:$K,""),"")),D340,-N(XLOOKUP($A340,RetirementPlan!$B:$B,RetirementPlan!$I:$I,0)),-SUMIFS(Assets!$J:$J,Assets!$B:$B,$A340,Assets!$R:$R,"Yes"),0))</f>
        <v/>
      </c>
      <c r="G340" s="9">
        <f>IF(OR($A340="",I340=""),"",MAX(0,(I340-J340)/IF(IFERROR(XLOOKUP($A340,RetirementPlan!$B:$B,RetirementPlan!$M:$M,""),"")="",SWR,IFERROR(XLOOKUP($A340,RetirementPlan!$B:$B,RetirementPlan!$M:$M,""),""))))</f>
        <v/>
      </c>
      <c r="H340" s="9">
        <f>IF(OR($A340="",F340="",G340=""),"",F340-G340)</f>
        <v/>
      </c>
      <c r="I340" s="9">
        <f>IF($A340="","",XLOOKUP($A340,RetirementPlan!$B:$B,RetirementPlan!$E:$E,""))</f>
        <v/>
      </c>
      <c r="J340" s="9">
        <f>IF($A340="","",N(XLOOKUP($A340,RetirementPlan!$B:$B,RetirementPlan!$G:$G,0))+N(XLOOKUP($A340,RetirementPlan!$B:$B,RetirementPlan!$H:$H,0)))</f>
        <v/>
      </c>
      <c r="K340">
        <f>IF($A340="","",IF(NOT(ISBLANK(XLOOKUP($A340,RetirementPlan!$B:$B,RetirementPlan!$N:$N,""))),XLOOKUP($A340,RetirementPlan!$B:$B,RetirementPlan!$N:$N,""),LET(cid,$A340,c,FILTER(LocationPlan!$D:$D,LocationPlan!$C:$C=cid),p,FILTER(LocationPlan!$E:$E,LocationPlan!$C:$C=cid),IFERROR(INDEX(c,MATCH(MAX(p),p,0)),""))))</f>
        <v/>
      </c>
    </row>
    <row r="341">
      <c r="B341">
        <f>IF($A341="","",XLOOKUP($A341,Clients!$A:$A,Clients!$D:$D)&amp;" "&amp;XLOOKUP($A341,Clients!$A:$A,Clients!$E:$E))</f>
        <v/>
      </c>
      <c r="C341">
        <f>IF($A341="","",DATEDIF(XLOOKUP($A341,Clients!$A:$A,Clients!$F:$F),VAL_DATE,"Y"))</f>
        <v/>
      </c>
      <c r="D341">
        <f>IF(OR($A341="",E341=""),"",E341-C341)</f>
        <v/>
      </c>
      <c r="E341">
        <f>IF($A341="","",XLOOKUP($A341,RetirementPlan!$B:$B,RetirementPlan!$C:$C,""))</f>
        <v/>
      </c>
      <c r="F341" s="9">
        <f>IF(OR($A341="",D341=""),"",FV(IF(IFERROR(XLOOKUP($A341,RetirementPlan!$B:$B,RetirementPlan!$K:$K,""),"")="",GROWTH,IFERROR(XLOOKUP($A341,RetirementPlan!$B:$B,RetirementPlan!$K:$K,""),"")),D341,-N(XLOOKUP($A341,RetirementPlan!$B:$B,RetirementPlan!$I:$I,0)),-SUMIFS(Assets!$J:$J,Assets!$B:$B,$A341,Assets!$R:$R,"Yes"),0))</f>
        <v/>
      </c>
      <c r="G341" s="9">
        <f>IF(OR($A341="",I341=""),"",MAX(0,(I341-J341)/IF(IFERROR(XLOOKUP($A341,RetirementPlan!$B:$B,RetirementPlan!$M:$M,""),"")="",SWR,IFERROR(XLOOKUP($A341,RetirementPlan!$B:$B,RetirementPlan!$M:$M,""),""))))</f>
        <v/>
      </c>
      <c r="H341" s="9">
        <f>IF(OR($A341="",F341="",G341=""),"",F341-G341)</f>
        <v/>
      </c>
      <c r="I341" s="9">
        <f>IF($A341="","",XLOOKUP($A341,RetirementPlan!$B:$B,RetirementPlan!$E:$E,""))</f>
        <v/>
      </c>
      <c r="J341" s="9">
        <f>IF($A341="","",N(XLOOKUP($A341,RetirementPlan!$B:$B,RetirementPlan!$G:$G,0))+N(XLOOKUP($A341,RetirementPlan!$B:$B,RetirementPlan!$H:$H,0)))</f>
        <v/>
      </c>
      <c r="K341">
        <f>IF($A341="","",IF(NOT(ISBLANK(XLOOKUP($A341,RetirementPlan!$B:$B,RetirementPlan!$N:$N,""))),XLOOKUP($A341,RetirementPlan!$B:$B,RetirementPlan!$N:$N,""),LET(cid,$A341,c,FILTER(LocationPlan!$D:$D,LocationPlan!$C:$C=cid),p,FILTER(LocationPlan!$E:$E,LocationPlan!$C:$C=cid),IFERROR(INDEX(c,MATCH(MAX(p),p,0)),""))))</f>
        <v/>
      </c>
    </row>
    <row r="342">
      <c r="B342">
        <f>IF($A342="","",XLOOKUP($A342,Clients!$A:$A,Clients!$D:$D)&amp;" "&amp;XLOOKUP($A342,Clients!$A:$A,Clients!$E:$E))</f>
        <v/>
      </c>
      <c r="C342">
        <f>IF($A342="","",DATEDIF(XLOOKUP($A342,Clients!$A:$A,Clients!$F:$F),VAL_DATE,"Y"))</f>
        <v/>
      </c>
      <c r="D342">
        <f>IF(OR($A342="",E342=""),"",E342-C342)</f>
        <v/>
      </c>
      <c r="E342">
        <f>IF($A342="","",XLOOKUP($A342,RetirementPlan!$B:$B,RetirementPlan!$C:$C,""))</f>
        <v/>
      </c>
      <c r="F342" s="9">
        <f>IF(OR($A342="",D342=""),"",FV(IF(IFERROR(XLOOKUP($A342,RetirementPlan!$B:$B,RetirementPlan!$K:$K,""),"")="",GROWTH,IFERROR(XLOOKUP($A342,RetirementPlan!$B:$B,RetirementPlan!$K:$K,""),"")),D342,-N(XLOOKUP($A342,RetirementPlan!$B:$B,RetirementPlan!$I:$I,0)),-SUMIFS(Assets!$J:$J,Assets!$B:$B,$A342,Assets!$R:$R,"Yes"),0))</f>
        <v/>
      </c>
      <c r="G342" s="9">
        <f>IF(OR($A342="",I342=""),"",MAX(0,(I342-J342)/IF(IFERROR(XLOOKUP($A342,RetirementPlan!$B:$B,RetirementPlan!$M:$M,""),"")="",SWR,IFERROR(XLOOKUP($A342,RetirementPlan!$B:$B,RetirementPlan!$M:$M,""),""))))</f>
        <v/>
      </c>
      <c r="H342" s="9">
        <f>IF(OR($A342="",F342="",G342=""),"",F342-G342)</f>
        <v/>
      </c>
      <c r="I342" s="9">
        <f>IF($A342="","",XLOOKUP($A342,RetirementPlan!$B:$B,RetirementPlan!$E:$E,""))</f>
        <v/>
      </c>
      <c r="J342" s="9">
        <f>IF($A342="","",N(XLOOKUP($A342,RetirementPlan!$B:$B,RetirementPlan!$G:$G,0))+N(XLOOKUP($A342,RetirementPlan!$B:$B,RetirementPlan!$H:$H,0)))</f>
        <v/>
      </c>
      <c r="K342">
        <f>IF($A342="","",IF(NOT(ISBLANK(XLOOKUP($A342,RetirementPlan!$B:$B,RetirementPlan!$N:$N,""))),XLOOKUP($A342,RetirementPlan!$B:$B,RetirementPlan!$N:$N,""),LET(cid,$A342,c,FILTER(LocationPlan!$D:$D,LocationPlan!$C:$C=cid),p,FILTER(LocationPlan!$E:$E,LocationPlan!$C:$C=cid),IFERROR(INDEX(c,MATCH(MAX(p),p,0)),""))))</f>
        <v/>
      </c>
    </row>
    <row r="343">
      <c r="B343">
        <f>IF($A343="","",XLOOKUP($A343,Clients!$A:$A,Clients!$D:$D)&amp;" "&amp;XLOOKUP($A343,Clients!$A:$A,Clients!$E:$E))</f>
        <v/>
      </c>
      <c r="C343">
        <f>IF($A343="","",DATEDIF(XLOOKUP($A343,Clients!$A:$A,Clients!$F:$F),VAL_DATE,"Y"))</f>
        <v/>
      </c>
      <c r="D343">
        <f>IF(OR($A343="",E343=""),"",E343-C343)</f>
        <v/>
      </c>
      <c r="E343">
        <f>IF($A343="","",XLOOKUP($A343,RetirementPlan!$B:$B,RetirementPlan!$C:$C,""))</f>
        <v/>
      </c>
      <c r="F343" s="9">
        <f>IF(OR($A343="",D343=""),"",FV(IF(IFERROR(XLOOKUP($A343,RetirementPlan!$B:$B,RetirementPlan!$K:$K,""),"")="",GROWTH,IFERROR(XLOOKUP($A343,RetirementPlan!$B:$B,RetirementPlan!$K:$K,""),"")),D343,-N(XLOOKUP($A343,RetirementPlan!$B:$B,RetirementPlan!$I:$I,0)),-SUMIFS(Assets!$J:$J,Assets!$B:$B,$A343,Assets!$R:$R,"Yes"),0))</f>
        <v/>
      </c>
      <c r="G343" s="9">
        <f>IF(OR($A343="",I343=""),"",MAX(0,(I343-J343)/IF(IFERROR(XLOOKUP($A343,RetirementPlan!$B:$B,RetirementPlan!$M:$M,""),"")="",SWR,IFERROR(XLOOKUP($A343,RetirementPlan!$B:$B,RetirementPlan!$M:$M,""),""))))</f>
        <v/>
      </c>
      <c r="H343" s="9">
        <f>IF(OR($A343="",F343="",G343=""),"",F343-G343)</f>
        <v/>
      </c>
      <c r="I343" s="9">
        <f>IF($A343="","",XLOOKUP($A343,RetirementPlan!$B:$B,RetirementPlan!$E:$E,""))</f>
        <v/>
      </c>
      <c r="J343" s="9">
        <f>IF($A343="","",N(XLOOKUP($A343,RetirementPlan!$B:$B,RetirementPlan!$G:$G,0))+N(XLOOKUP($A343,RetirementPlan!$B:$B,RetirementPlan!$H:$H,0)))</f>
        <v/>
      </c>
      <c r="K343">
        <f>IF($A343="","",IF(NOT(ISBLANK(XLOOKUP($A343,RetirementPlan!$B:$B,RetirementPlan!$N:$N,""))),XLOOKUP($A343,RetirementPlan!$B:$B,RetirementPlan!$N:$N,""),LET(cid,$A343,c,FILTER(LocationPlan!$D:$D,LocationPlan!$C:$C=cid),p,FILTER(LocationPlan!$E:$E,LocationPlan!$C:$C=cid),IFERROR(INDEX(c,MATCH(MAX(p),p,0)),""))))</f>
        <v/>
      </c>
    </row>
    <row r="344">
      <c r="B344">
        <f>IF($A344="","",XLOOKUP($A344,Clients!$A:$A,Clients!$D:$D)&amp;" "&amp;XLOOKUP($A344,Clients!$A:$A,Clients!$E:$E))</f>
        <v/>
      </c>
      <c r="C344">
        <f>IF($A344="","",DATEDIF(XLOOKUP($A344,Clients!$A:$A,Clients!$F:$F),VAL_DATE,"Y"))</f>
        <v/>
      </c>
      <c r="D344">
        <f>IF(OR($A344="",E344=""),"",E344-C344)</f>
        <v/>
      </c>
      <c r="E344">
        <f>IF($A344="","",XLOOKUP($A344,RetirementPlan!$B:$B,RetirementPlan!$C:$C,""))</f>
        <v/>
      </c>
      <c r="F344" s="9">
        <f>IF(OR($A344="",D344=""),"",FV(IF(IFERROR(XLOOKUP($A344,RetirementPlan!$B:$B,RetirementPlan!$K:$K,""),"")="",GROWTH,IFERROR(XLOOKUP($A344,RetirementPlan!$B:$B,RetirementPlan!$K:$K,""),"")),D344,-N(XLOOKUP($A344,RetirementPlan!$B:$B,RetirementPlan!$I:$I,0)),-SUMIFS(Assets!$J:$J,Assets!$B:$B,$A344,Assets!$R:$R,"Yes"),0))</f>
        <v/>
      </c>
      <c r="G344" s="9">
        <f>IF(OR($A344="",I344=""),"",MAX(0,(I344-J344)/IF(IFERROR(XLOOKUP($A344,RetirementPlan!$B:$B,RetirementPlan!$M:$M,""),"")="",SWR,IFERROR(XLOOKUP($A344,RetirementPlan!$B:$B,RetirementPlan!$M:$M,""),""))))</f>
        <v/>
      </c>
      <c r="H344" s="9">
        <f>IF(OR($A344="",F344="",G344=""),"",F344-G344)</f>
        <v/>
      </c>
      <c r="I344" s="9">
        <f>IF($A344="","",XLOOKUP($A344,RetirementPlan!$B:$B,RetirementPlan!$E:$E,""))</f>
        <v/>
      </c>
      <c r="J344" s="9">
        <f>IF($A344="","",N(XLOOKUP($A344,RetirementPlan!$B:$B,RetirementPlan!$G:$G,0))+N(XLOOKUP($A344,RetirementPlan!$B:$B,RetirementPlan!$H:$H,0)))</f>
        <v/>
      </c>
      <c r="K344">
        <f>IF($A344="","",IF(NOT(ISBLANK(XLOOKUP($A344,RetirementPlan!$B:$B,RetirementPlan!$N:$N,""))),XLOOKUP($A344,RetirementPlan!$B:$B,RetirementPlan!$N:$N,""),LET(cid,$A344,c,FILTER(LocationPlan!$D:$D,LocationPlan!$C:$C=cid),p,FILTER(LocationPlan!$E:$E,LocationPlan!$C:$C=cid),IFERROR(INDEX(c,MATCH(MAX(p),p,0)),""))))</f>
        <v/>
      </c>
    </row>
    <row r="345">
      <c r="B345">
        <f>IF($A345="","",XLOOKUP($A345,Clients!$A:$A,Clients!$D:$D)&amp;" "&amp;XLOOKUP($A345,Clients!$A:$A,Clients!$E:$E))</f>
        <v/>
      </c>
      <c r="C345">
        <f>IF($A345="","",DATEDIF(XLOOKUP($A345,Clients!$A:$A,Clients!$F:$F),VAL_DATE,"Y"))</f>
        <v/>
      </c>
      <c r="D345">
        <f>IF(OR($A345="",E345=""),"",E345-C345)</f>
        <v/>
      </c>
      <c r="E345">
        <f>IF($A345="","",XLOOKUP($A345,RetirementPlan!$B:$B,RetirementPlan!$C:$C,""))</f>
        <v/>
      </c>
      <c r="F345" s="9">
        <f>IF(OR($A345="",D345=""),"",FV(IF(IFERROR(XLOOKUP($A345,RetirementPlan!$B:$B,RetirementPlan!$K:$K,""),"")="",GROWTH,IFERROR(XLOOKUP($A345,RetirementPlan!$B:$B,RetirementPlan!$K:$K,""),"")),D345,-N(XLOOKUP($A345,RetirementPlan!$B:$B,RetirementPlan!$I:$I,0)),-SUMIFS(Assets!$J:$J,Assets!$B:$B,$A345,Assets!$R:$R,"Yes"),0))</f>
        <v/>
      </c>
      <c r="G345" s="9">
        <f>IF(OR($A345="",I345=""),"",MAX(0,(I345-J345)/IF(IFERROR(XLOOKUP($A345,RetirementPlan!$B:$B,RetirementPlan!$M:$M,""),"")="",SWR,IFERROR(XLOOKUP($A345,RetirementPlan!$B:$B,RetirementPlan!$M:$M,""),""))))</f>
        <v/>
      </c>
      <c r="H345" s="9">
        <f>IF(OR($A345="",F345="",G345=""),"",F345-G345)</f>
        <v/>
      </c>
      <c r="I345" s="9">
        <f>IF($A345="","",XLOOKUP($A345,RetirementPlan!$B:$B,RetirementPlan!$E:$E,""))</f>
        <v/>
      </c>
      <c r="J345" s="9">
        <f>IF($A345="","",N(XLOOKUP($A345,RetirementPlan!$B:$B,RetirementPlan!$G:$G,0))+N(XLOOKUP($A345,RetirementPlan!$B:$B,RetirementPlan!$H:$H,0)))</f>
        <v/>
      </c>
      <c r="K345">
        <f>IF($A345="","",IF(NOT(ISBLANK(XLOOKUP($A345,RetirementPlan!$B:$B,RetirementPlan!$N:$N,""))),XLOOKUP($A345,RetirementPlan!$B:$B,RetirementPlan!$N:$N,""),LET(cid,$A345,c,FILTER(LocationPlan!$D:$D,LocationPlan!$C:$C=cid),p,FILTER(LocationPlan!$E:$E,LocationPlan!$C:$C=cid),IFERROR(INDEX(c,MATCH(MAX(p),p,0)),""))))</f>
        <v/>
      </c>
    </row>
    <row r="346">
      <c r="B346">
        <f>IF($A346="","",XLOOKUP($A346,Clients!$A:$A,Clients!$D:$D)&amp;" "&amp;XLOOKUP($A346,Clients!$A:$A,Clients!$E:$E))</f>
        <v/>
      </c>
      <c r="C346">
        <f>IF($A346="","",DATEDIF(XLOOKUP($A346,Clients!$A:$A,Clients!$F:$F),VAL_DATE,"Y"))</f>
        <v/>
      </c>
      <c r="D346">
        <f>IF(OR($A346="",E346=""),"",E346-C346)</f>
        <v/>
      </c>
      <c r="E346">
        <f>IF($A346="","",XLOOKUP($A346,RetirementPlan!$B:$B,RetirementPlan!$C:$C,""))</f>
        <v/>
      </c>
      <c r="F346" s="9">
        <f>IF(OR($A346="",D346=""),"",FV(IF(IFERROR(XLOOKUP($A346,RetirementPlan!$B:$B,RetirementPlan!$K:$K,""),"")="",GROWTH,IFERROR(XLOOKUP($A346,RetirementPlan!$B:$B,RetirementPlan!$K:$K,""),"")),D346,-N(XLOOKUP($A346,RetirementPlan!$B:$B,RetirementPlan!$I:$I,0)),-SUMIFS(Assets!$J:$J,Assets!$B:$B,$A346,Assets!$R:$R,"Yes"),0))</f>
        <v/>
      </c>
      <c r="G346" s="9">
        <f>IF(OR($A346="",I346=""),"",MAX(0,(I346-J346)/IF(IFERROR(XLOOKUP($A346,RetirementPlan!$B:$B,RetirementPlan!$M:$M,""),"")="",SWR,IFERROR(XLOOKUP($A346,RetirementPlan!$B:$B,RetirementPlan!$M:$M,""),""))))</f>
        <v/>
      </c>
      <c r="H346" s="9">
        <f>IF(OR($A346="",F346="",G346=""),"",F346-G346)</f>
        <v/>
      </c>
      <c r="I346" s="9">
        <f>IF($A346="","",XLOOKUP($A346,RetirementPlan!$B:$B,RetirementPlan!$E:$E,""))</f>
        <v/>
      </c>
      <c r="J346" s="9">
        <f>IF($A346="","",N(XLOOKUP($A346,RetirementPlan!$B:$B,RetirementPlan!$G:$G,0))+N(XLOOKUP($A346,RetirementPlan!$B:$B,RetirementPlan!$H:$H,0)))</f>
        <v/>
      </c>
      <c r="K346">
        <f>IF($A346="","",IF(NOT(ISBLANK(XLOOKUP($A346,RetirementPlan!$B:$B,RetirementPlan!$N:$N,""))),XLOOKUP($A346,RetirementPlan!$B:$B,RetirementPlan!$N:$N,""),LET(cid,$A346,c,FILTER(LocationPlan!$D:$D,LocationPlan!$C:$C=cid),p,FILTER(LocationPlan!$E:$E,LocationPlan!$C:$C=cid),IFERROR(INDEX(c,MATCH(MAX(p),p,0)),""))))</f>
        <v/>
      </c>
    </row>
    <row r="347">
      <c r="B347">
        <f>IF($A347="","",XLOOKUP($A347,Clients!$A:$A,Clients!$D:$D)&amp;" "&amp;XLOOKUP($A347,Clients!$A:$A,Clients!$E:$E))</f>
        <v/>
      </c>
      <c r="C347">
        <f>IF($A347="","",DATEDIF(XLOOKUP($A347,Clients!$A:$A,Clients!$F:$F),VAL_DATE,"Y"))</f>
        <v/>
      </c>
      <c r="D347">
        <f>IF(OR($A347="",E347=""),"",E347-C347)</f>
        <v/>
      </c>
      <c r="E347">
        <f>IF($A347="","",XLOOKUP($A347,RetirementPlan!$B:$B,RetirementPlan!$C:$C,""))</f>
        <v/>
      </c>
      <c r="F347" s="9">
        <f>IF(OR($A347="",D347=""),"",FV(IF(IFERROR(XLOOKUP($A347,RetirementPlan!$B:$B,RetirementPlan!$K:$K,""),"")="",GROWTH,IFERROR(XLOOKUP($A347,RetirementPlan!$B:$B,RetirementPlan!$K:$K,""),"")),D347,-N(XLOOKUP($A347,RetirementPlan!$B:$B,RetirementPlan!$I:$I,0)),-SUMIFS(Assets!$J:$J,Assets!$B:$B,$A347,Assets!$R:$R,"Yes"),0))</f>
        <v/>
      </c>
      <c r="G347" s="9">
        <f>IF(OR($A347="",I347=""),"",MAX(0,(I347-J347)/IF(IFERROR(XLOOKUP($A347,RetirementPlan!$B:$B,RetirementPlan!$M:$M,""),"")="",SWR,IFERROR(XLOOKUP($A347,RetirementPlan!$B:$B,RetirementPlan!$M:$M,""),""))))</f>
        <v/>
      </c>
      <c r="H347" s="9">
        <f>IF(OR($A347="",F347="",G347=""),"",F347-G347)</f>
        <v/>
      </c>
      <c r="I347" s="9">
        <f>IF($A347="","",XLOOKUP($A347,RetirementPlan!$B:$B,RetirementPlan!$E:$E,""))</f>
        <v/>
      </c>
      <c r="J347" s="9">
        <f>IF($A347="","",N(XLOOKUP($A347,RetirementPlan!$B:$B,RetirementPlan!$G:$G,0))+N(XLOOKUP($A347,RetirementPlan!$B:$B,RetirementPlan!$H:$H,0)))</f>
        <v/>
      </c>
      <c r="K347">
        <f>IF($A347="","",IF(NOT(ISBLANK(XLOOKUP($A347,RetirementPlan!$B:$B,RetirementPlan!$N:$N,""))),XLOOKUP($A347,RetirementPlan!$B:$B,RetirementPlan!$N:$N,""),LET(cid,$A347,c,FILTER(LocationPlan!$D:$D,LocationPlan!$C:$C=cid),p,FILTER(LocationPlan!$E:$E,LocationPlan!$C:$C=cid),IFERROR(INDEX(c,MATCH(MAX(p),p,0)),""))))</f>
        <v/>
      </c>
    </row>
    <row r="348">
      <c r="B348">
        <f>IF($A348="","",XLOOKUP($A348,Clients!$A:$A,Clients!$D:$D)&amp;" "&amp;XLOOKUP($A348,Clients!$A:$A,Clients!$E:$E))</f>
        <v/>
      </c>
      <c r="C348">
        <f>IF($A348="","",DATEDIF(XLOOKUP($A348,Clients!$A:$A,Clients!$F:$F),VAL_DATE,"Y"))</f>
        <v/>
      </c>
      <c r="D348">
        <f>IF(OR($A348="",E348=""),"",E348-C348)</f>
        <v/>
      </c>
      <c r="E348">
        <f>IF($A348="","",XLOOKUP($A348,RetirementPlan!$B:$B,RetirementPlan!$C:$C,""))</f>
        <v/>
      </c>
      <c r="F348" s="9">
        <f>IF(OR($A348="",D348=""),"",FV(IF(IFERROR(XLOOKUP($A348,RetirementPlan!$B:$B,RetirementPlan!$K:$K,""),"")="",GROWTH,IFERROR(XLOOKUP($A348,RetirementPlan!$B:$B,RetirementPlan!$K:$K,""),"")),D348,-N(XLOOKUP($A348,RetirementPlan!$B:$B,RetirementPlan!$I:$I,0)),-SUMIFS(Assets!$J:$J,Assets!$B:$B,$A348,Assets!$R:$R,"Yes"),0))</f>
        <v/>
      </c>
      <c r="G348" s="9">
        <f>IF(OR($A348="",I348=""),"",MAX(0,(I348-J348)/IF(IFERROR(XLOOKUP($A348,RetirementPlan!$B:$B,RetirementPlan!$M:$M,""),"")="",SWR,IFERROR(XLOOKUP($A348,RetirementPlan!$B:$B,RetirementPlan!$M:$M,""),""))))</f>
        <v/>
      </c>
      <c r="H348" s="9">
        <f>IF(OR($A348="",F348="",G348=""),"",F348-G348)</f>
        <v/>
      </c>
      <c r="I348" s="9">
        <f>IF($A348="","",XLOOKUP($A348,RetirementPlan!$B:$B,RetirementPlan!$E:$E,""))</f>
        <v/>
      </c>
      <c r="J348" s="9">
        <f>IF($A348="","",N(XLOOKUP($A348,RetirementPlan!$B:$B,RetirementPlan!$G:$G,0))+N(XLOOKUP($A348,RetirementPlan!$B:$B,RetirementPlan!$H:$H,0)))</f>
        <v/>
      </c>
      <c r="K348">
        <f>IF($A348="","",IF(NOT(ISBLANK(XLOOKUP($A348,RetirementPlan!$B:$B,RetirementPlan!$N:$N,""))),XLOOKUP($A348,RetirementPlan!$B:$B,RetirementPlan!$N:$N,""),LET(cid,$A348,c,FILTER(LocationPlan!$D:$D,LocationPlan!$C:$C=cid),p,FILTER(LocationPlan!$E:$E,LocationPlan!$C:$C=cid),IFERROR(INDEX(c,MATCH(MAX(p),p,0)),""))))</f>
        <v/>
      </c>
    </row>
    <row r="349">
      <c r="B349">
        <f>IF($A349="","",XLOOKUP($A349,Clients!$A:$A,Clients!$D:$D)&amp;" "&amp;XLOOKUP($A349,Clients!$A:$A,Clients!$E:$E))</f>
        <v/>
      </c>
      <c r="C349">
        <f>IF($A349="","",DATEDIF(XLOOKUP($A349,Clients!$A:$A,Clients!$F:$F),VAL_DATE,"Y"))</f>
        <v/>
      </c>
      <c r="D349">
        <f>IF(OR($A349="",E349=""),"",E349-C349)</f>
        <v/>
      </c>
      <c r="E349">
        <f>IF($A349="","",XLOOKUP($A349,RetirementPlan!$B:$B,RetirementPlan!$C:$C,""))</f>
        <v/>
      </c>
      <c r="F349" s="9">
        <f>IF(OR($A349="",D349=""),"",FV(IF(IFERROR(XLOOKUP($A349,RetirementPlan!$B:$B,RetirementPlan!$K:$K,""),"")="",GROWTH,IFERROR(XLOOKUP($A349,RetirementPlan!$B:$B,RetirementPlan!$K:$K,""),"")),D349,-N(XLOOKUP($A349,RetirementPlan!$B:$B,RetirementPlan!$I:$I,0)),-SUMIFS(Assets!$J:$J,Assets!$B:$B,$A349,Assets!$R:$R,"Yes"),0))</f>
        <v/>
      </c>
      <c r="G349" s="9">
        <f>IF(OR($A349="",I349=""),"",MAX(0,(I349-J349)/IF(IFERROR(XLOOKUP($A349,RetirementPlan!$B:$B,RetirementPlan!$M:$M,""),"")="",SWR,IFERROR(XLOOKUP($A349,RetirementPlan!$B:$B,RetirementPlan!$M:$M,""),""))))</f>
        <v/>
      </c>
      <c r="H349" s="9">
        <f>IF(OR($A349="",F349="",G349=""),"",F349-G349)</f>
        <v/>
      </c>
      <c r="I349" s="9">
        <f>IF($A349="","",XLOOKUP($A349,RetirementPlan!$B:$B,RetirementPlan!$E:$E,""))</f>
        <v/>
      </c>
      <c r="J349" s="9">
        <f>IF($A349="","",N(XLOOKUP($A349,RetirementPlan!$B:$B,RetirementPlan!$G:$G,0))+N(XLOOKUP($A349,RetirementPlan!$B:$B,RetirementPlan!$H:$H,0)))</f>
        <v/>
      </c>
      <c r="K349">
        <f>IF($A349="","",IF(NOT(ISBLANK(XLOOKUP($A349,RetirementPlan!$B:$B,RetirementPlan!$N:$N,""))),XLOOKUP($A349,RetirementPlan!$B:$B,RetirementPlan!$N:$N,""),LET(cid,$A349,c,FILTER(LocationPlan!$D:$D,LocationPlan!$C:$C=cid),p,FILTER(LocationPlan!$E:$E,LocationPlan!$C:$C=cid),IFERROR(INDEX(c,MATCH(MAX(p),p,0)),""))))</f>
        <v/>
      </c>
    </row>
    <row r="350">
      <c r="B350">
        <f>IF($A350="","",XLOOKUP($A350,Clients!$A:$A,Clients!$D:$D)&amp;" "&amp;XLOOKUP($A350,Clients!$A:$A,Clients!$E:$E))</f>
        <v/>
      </c>
      <c r="C350">
        <f>IF($A350="","",DATEDIF(XLOOKUP($A350,Clients!$A:$A,Clients!$F:$F),VAL_DATE,"Y"))</f>
        <v/>
      </c>
      <c r="D350">
        <f>IF(OR($A350="",E350=""),"",E350-C350)</f>
        <v/>
      </c>
      <c r="E350">
        <f>IF($A350="","",XLOOKUP($A350,RetirementPlan!$B:$B,RetirementPlan!$C:$C,""))</f>
        <v/>
      </c>
      <c r="F350" s="9">
        <f>IF(OR($A350="",D350=""),"",FV(IF(IFERROR(XLOOKUP($A350,RetirementPlan!$B:$B,RetirementPlan!$K:$K,""),"")="",GROWTH,IFERROR(XLOOKUP($A350,RetirementPlan!$B:$B,RetirementPlan!$K:$K,""),"")),D350,-N(XLOOKUP($A350,RetirementPlan!$B:$B,RetirementPlan!$I:$I,0)),-SUMIFS(Assets!$J:$J,Assets!$B:$B,$A350,Assets!$R:$R,"Yes"),0))</f>
        <v/>
      </c>
      <c r="G350" s="9">
        <f>IF(OR($A350="",I350=""),"",MAX(0,(I350-J350)/IF(IFERROR(XLOOKUP($A350,RetirementPlan!$B:$B,RetirementPlan!$M:$M,""),"")="",SWR,IFERROR(XLOOKUP($A350,RetirementPlan!$B:$B,RetirementPlan!$M:$M,""),""))))</f>
        <v/>
      </c>
      <c r="H350" s="9">
        <f>IF(OR($A350="",F350="",G350=""),"",F350-G350)</f>
        <v/>
      </c>
      <c r="I350" s="9">
        <f>IF($A350="","",XLOOKUP($A350,RetirementPlan!$B:$B,RetirementPlan!$E:$E,""))</f>
        <v/>
      </c>
      <c r="J350" s="9">
        <f>IF($A350="","",N(XLOOKUP($A350,RetirementPlan!$B:$B,RetirementPlan!$G:$G,0))+N(XLOOKUP($A350,RetirementPlan!$B:$B,RetirementPlan!$H:$H,0)))</f>
        <v/>
      </c>
      <c r="K350">
        <f>IF($A350="","",IF(NOT(ISBLANK(XLOOKUP($A350,RetirementPlan!$B:$B,RetirementPlan!$N:$N,""))),XLOOKUP($A350,RetirementPlan!$B:$B,RetirementPlan!$N:$N,""),LET(cid,$A350,c,FILTER(LocationPlan!$D:$D,LocationPlan!$C:$C=cid),p,FILTER(LocationPlan!$E:$E,LocationPlan!$C:$C=cid),IFERROR(INDEX(c,MATCH(MAX(p),p,0)),""))))</f>
        <v/>
      </c>
    </row>
    <row r="351">
      <c r="B351">
        <f>IF($A351="","",XLOOKUP($A351,Clients!$A:$A,Clients!$D:$D)&amp;" "&amp;XLOOKUP($A351,Clients!$A:$A,Clients!$E:$E))</f>
        <v/>
      </c>
      <c r="C351">
        <f>IF($A351="","",DATEDIF(XLOOKUP($A351,Clients!$A:$A,Clients!$F:$F),VAL_DATE,"Y"))</f>
        <v/>
      </c>
      <c r="D351">
        <f>IF(OR($A351="",E351=""),"",E351-C351)</f>
        <v/>
      </c>
      <c r="E351">
        <f>IF($A351="","",XLOOKUP($A351,RetirementPlan!$B:$B,RetirementPlan!$C:$C,""))</f>
        <v/>
      </c>
      <c r="F351" s="9">
        <f>IF(OR($A351="",D351=""),"",FV(IF(IFERROR(XLOOKUP($A351,RetirementPlan!$B:$B,RetirementPlan!$K:$K,""),"")="",GROWTH,IFERROR(XLOOKUP($A351,RetirementPlan!$B:$B,RetirementPlan!$K:$K,""),"")),D351,-N(XLOOKUP($A351,RetirementPlan!$B:$B,RetirementPlan!$I:$I,0)),-SUMIFS(Assets!$J:$J,Assets!$B:$B,$A351,Assets!$R:$R,"Yes"),0))</f>
        <v/>
      </c>
      <c r="G351" s="9">
        <f>IF(OR($A351="",I351=""),"",MAX(0,(I351-J351)/IF(IFERROR(XLOOKUP($A351,RetirementPlan!$B:$B,RetirementPlan!$M:$M,""),"")="",SWR,IFERROR(XLOOKUP($A351,RetirementPlan!$B:$B,RetirementPlan!$M:$M,""),""))))</f>
        <v/>
      </c>
      <c r="H351" s="9">
        <f>IF(OR($A351="",F351="",G351=""),"",F351-G351)</f>
        <v/>
      </c>
      <c r="I351" s="9">
        <f>IF($A351="","",XLOOKUP($A351,RetirementPlan!$B:$B,RetirementPlan!$E:$E,""))</f>
        <v/>
      </c>
      <c r="J351" s="9">
        <f>IF($A351="","",N(XLOOKUP($A351,RetirementPlan!$B:$B,RetirementPlan!$G:$G,0))+N(XLOOKUP($A351,RetirementPlan!$B:$B,RetirementPlan!$H:$H,0)))</f>
        <v/>
      </c>
      <c r="K351">
        <f>IF($A351="","",IF(NOT(ISBLANK(XLOOKUP($A351,RetirementPlan!$B:$B,RetirementPlan!$N:$N,""))),XLOOKUP($A351,RetirementPlan!$B:$B,RetirementPlan!$N:$N,""),LET(cid,$A351,c,FILTER(LocationPlan!$D:$D,LocationPlan!$C:$C=cid),p,FILTER(LocationPlan!$E:$E,LocationPlan!$C:$C=cid),IFERROR(INDEX(c,MATCH(MAX(p),p,0)),""))))</f>
        <v/>
      </c>
    </row>
    <row r="352">
      <c r="B352">
        <f>IF($A352="","",XLOOKUP($A352,Clients!$A:$A,Clients!$D:$D)&amp;" "&amp;XLOOKUP($A352,Clients!$A:$A,Clients!$E:$E))</f>
        <v/>
      </c>
      <c r="C352">
        <f>IF($A352="","",DATEDIF(XLOOKUP($A352,Clients!$A:$A,Clients!$F:$F),VAL_DATE,"Y"))</f>
        <v/>
      </c>
      <c r="D352">
        <f>IF(OR($A352="",E352=""),"",E352-C352)</f>
        <v/>
      </c>
      <c r="E352">
        <f>IF($A352="","",XLOOKUP($A352,RetirementPlan!$B:$B,RetirementPlan!$C:$C,""))</f>
        <v/>
      </c>
      <c r="F352" s="9">
        <f>IF(OR($A352="",D352=""),"",FV(IF(IFERROR(XLOOKUP($A352,RetirementPlan!$B:$B,RetirementPlan!$K:$K,""),"")="",GROWTH,IFERROR(XLOOKUP($A352,RetirementPlan!$B:$B,RetirementPlan!$K:$K,""),"")),D352,-N(XLOOKUP($A352,RetirementPlan!$B:$B,RetirementPlan!$I:$I,0)),-SUMIFS(Assets!$J:$J,Assets!$B:$B,$A352,Assets!$R:$R,"Yes"),0))</f>
        <v/>
      </c>
      <c r="G352" s="9">
        <f>IF(OR($A352="",I352=""),"",MAX(0,(I352-J352)/IF(IFERROR(XLOOKUP($A352,RetirementPlan!$B:$B,RetirementPlan!$M:$M,""),"")="",SWR,IFERROR(XLOOKUP($A352,RetirementPlan!$B:$B,RetirementPlan!$M:$M,""),""))))</f>
        <v/>
      </c>
      <c r="H352" s="9">
        <f>IF(OR($A352="",F352="",G352=""),"",F352-G352)</f>
        <v/>
      </c>
      <c r="I352" s="9">
        <f>IF($A352="","",XLOOKUP($A352,RetirementPlan!$B:$B,RetirementPlan!$E:$E,""))</f>
        <v/>
      </c>
      <c r="J352" s="9">
        <f>IF($A352="","",N(XLOOKUP($A352,RetirementPlan!$B:$B,RetirementPlan!$G:$G,0))+N(XLOOKUP($A352,RetirementPlan!$B:$B,RetirementPlan!$H:$H,0)))</f>
        <v/>
      </c>
      <c r="K352">
        <f>IF($A352="","",IF(NOT(ISBLANK(XLOOKUP($A352,RetirementPlan!$B:$B,RetirementPlan!$N:$N,""))),XLOOKUP($A352,RetirementPlan!$B:$B,RetirementPlan!$N:$N,""),LET(cid,$A352,c,FILTER(LocationPlan!$D:$D,LocationPlan!$C:$C=cid),p,FILTER(LocationPlan!$E:$E,LocationPlan!$C:$C=cid),IFERROR(INDEX(c,MATCH(MAX(p),p,0)),""))))</f>
        <v/>
      </c>
    </row>
    <row r="353">
      <c r="B353">
        <f>IF($A353="","",XLOOKUP($A353,Clients!$A:$A,Clients!$D:$D)&amp;" "&amp;XLOOKUP($A353,Clients!$A:$A,Clients!$E:$E))</f>
        <v/>
      </c>
      <c r="C353">
        <f>IF($A353="","",DATEDIF(XLOOKUP($A353,Clients!$A:$A,Clients!$F:$F),VAL_DATE,"Y"))</f>
        <v/>
      </c>
      <c r="D353">
        <f>IF(OR($A353="",E353=""),"",E353-C353)</f>
        <v/>
      </c>
      <c r="E353">
        <f>IF($A353="","",XLOOKUP($A353,RetirementPlan!$B:$B,RetirementPlan!$C:$C,""))</f>
        <v/>
      </c>
      <c r="F353" s="9">
        <f>IF(OR($A353="",D353=""),"",FV(IF(IFERROR(XLOOKUP($A353,RetirementPlan!$B:$B,RetirementPlan!$K:$K,""),"")="",GROWTH,IFERROR(XLOOKUP($A353,RetirementPlan!$B:$B,RetirementPlan!$K:$K,""),"")),D353,-N(XLOOKUP($A353,RetirementPlan!$B:$B,RetirementPlan!$I:$I,0)),-SUMIFS(Assets!$J:$J,Assets!$B:$B,$A353,Assets!$R:$R,"Yes"),0))</f>
        <v/>
      </c>
      <c r="G353" s="9">
        <f>IF(OR($A353="",I353=""),"",MAX(0,(I353-J353)/IF(IFERROR(XLOOKUP($A353,RetirementPlan!$B:$B,RetirementPlan!$M:$M,""),"")="",SWR,IFERROR(XLOOKUP($A353,RetirementPlan!$B:$B,RetirementPlan!$M:$M,""),""))))</f>
        <v/>
      </c>
      <c r="H353" s="9">
        <f>IF(OR($A353="",F353="",G353=""),"",F353-G353)</f>
        <v/>
      </c>
      <c r="I353" s="9">
        <f>IF($A353="","",XLOOKUP($A353,RetirementPlan!$B:$B,RetirementPlan!$E:$E,""))</f>
        <v/>
      </c>
      <c r="J353" s="9">
        <f>IF($A353="","",N(XLOOKUP($A353,RetirementPlan!$B:$B,RetirementPlan!$G:$G,0))+N(XLOOKUP($A353,RetirementPlan!$B:$B,RetirementPlan!$H:$H,0)))</f>
        <v/>
      </c>
      <c r="K353">
        <f>IF($A353="","",IF(NOT(ISBLANK(XLOOKUP($A353,RetirementPlan!$B:$B,RetirementPlan!$N:$N,""))),XLOOKUP($A353,RetirementPlan!$B:$B,RetirementPlan!$N:$N,""),LET(cid,$A353,c,FILTER(LocationPlan!$D:$D,LocationPlan!$C:$C=cid),p,FILTER(LocationPlan!$E:$E,LocationPlan!$C:$C=cid),IFERROR(INDEX(c,MATCH(MAX(p),p,0)),""))))</f>
        <v/>
      </c>
    </row>
    <row r="354">
      <c r="B354">
        <f>IF($A354="","",XLOOKUP($A354,Clients!$A:$A,Clients!$D:$D)&amp;" "&amp;XLOOKUP($A354,Clients!$A:$A,Clients!$E:$E))</f>
        <v/>
      </c>
      <c r="C354">
        <f>IF($A354="","",DATEDIF(XLOOKUP($A354,Clients!$A:$A,Clients!$F:$F),VAL_DATE,"Y"))</f>
        <v/>
      </c>
      <c r="D354">
        <f>IF(OR($A354="",E354=""),"",E354-C354)</f>
        <v/>
      </c>
      <c r="E354">
        <f>IF($A354="","",XLOOKUP($A354,RetirementPlan!$B:$B,RetirementPlan!$C:$C,""))</f>
        <v/>
      </c>
      <c r="F354" s="9">
        <f>IF(OR($A354="",D354=""),"",FV(IF(IFERROR(XLOOKUP($A354,RetirementPlan!$B:$B,RetirementPlan!$K:$K,""),"")="",GROWTH,IFERROR(XLOOKUP($A354,RetirementPlan!$B:$B,RetirementPlan!$K:$K,""),"")),D354,-N(XLOOKUP($A354,RetirementPlan!$B:$B,RetirementPlan!$I:$I,0)),-SUMIFS(Assets!$J:$J,Assets!$B:$B,$A354,Assets!$R:$R,"Yes"),0))</f>
        <v/>
      </c>
      <c r="G354" s="9">
        <f>IF(OR($A354="",I354=""),"",MAX(0,(I354-J354)/IF(IFERROR(XLOOKUP($A354,RetirementPlan!$B:$B,RetirementPlan!$M:$M,""),"")="",SWR,IFERROR(XLOOKUP($A354,RetirementPlan!$B:$B,RetirementPlan!$M:$M,""),""))))</f>
        <v/>
      </c>
      <c r="H354" s="9">
        <f>IF(OR($A354="",F354="",G354=""),"",F354-G354)</f>
        <v/>
      </c>
      <c r="I354" s="9">
        <f>IF($A354="","",XLOOKUP($A354,RetirementPlan!$B:$B,RetirementPlan!$E:$E,""))</f>
        <v/>
      </c>
      <c r="J354" s="9">
        <f>IF($A354="","",N(XLOOKUP($A354,RetirementPlan!$B:$B,RetirementPlan!$G:$G,0))+N(XLOOKUP($A354,RetirementPlan!$B:$B,RetirementPlan!$H:$H,0)))</f>
        <v/>
      </c>
      <c r="K354">
        <f>IF($A354="","",IF(NOT(ISBLANK(XLOOKUP($A354,RetirementPlan!$B:$B,RetirementPlan!$N:$N,""))),XLOOKUP($A354,RetirementPlan!$B:$B,RetirementPlan!$N:$N,""),LET(cid,$A354,c,FILTER(LocationPlan!$D:$D,LocationPlan!$C:$C=cid),p,FILTER(LocationPlan!$E:$E,LocationPlan!$C:$C=cid),IFERROR(INDEX(c,MATCH(MAX(p),p,0)),""))))</f>
        <v/>
      </c>
    </row>
    <row r="355">
      <c r="B355">
        <f>IF($A355="","",XLOOKUP($A355,Clients!$A:$A,Clients!$D:$D)&amp;" "&amp;XLOOKUP($A355,Clients!$A:$A,Clients!$E:$E))</f>
        <v/>
      </c>
      <c r="C355">
        <f>IF($A355="","",DATEDIF(XLOOKUP($A355,Clients!$A:$A,Clients!$F:$F),VAL_DATE,"Y"))</f>
        <v/>
      </c>
      <c r="D355">
        <f>IF(OR($A355="",E355=""),"",E355-C355)</f>
        <v/>
      </c>
      <c r="E355">
        <f>IF($A355="","",XLOOKUP($A355,RetirementPlan!$B:$B,RetirementPlan!$C:$C,""))</f>
        <v/>
      </c>
      <c r="F355" s="9">
        <f>IF(OR($A355="",D355=""),"",FV(IF(IFERROR(XLOOKUP($A355,RetirementPlan!$B:$B,RetirementPlan!$K:$K,""),"")="",GROWTH,IFERROR(XLOOKUP($A355,RetirementPlan!$B:$B,RetirementPlan!$K:$K,""),"")),D355,-N(XLOOKUP($A355,RetirementPlan!$B:$B,RetirementPlan!$I:$I,0)),-SUMIFS(Assets!$J:$J,Assets!$B:$B,$A355,Assets!$R:$R,"Yes"),0))</f>
        <v/>
      </c>
      <c r="G355" s="9">
        <f>IF(OR($A355="",I355=""),"",MAX(0,(I355-J355)/IF(IFERROR(XLOOKUP($A355,RetirementPlan!$B:$B,RetirementPlan!$M:$M,""),"")="",SWR,IFERROR(XLOOKUP($A355,RetirementPlan!$B:$B,RetirementPlan!$M:$M,""),""))))</f>
        <v/>
      </c>
      <c r="H355" s="9">
        <f>IF(OR($A355="",F355="",G355=""),"",F355-G355)</f>
        <v/>
      </c>
      <c r="I355" s="9">
        <f>IF($A355="","",XLOOKUP($A355,RetirementPlan!$B:$B,RetirementPlan!$E:$E,""))</f>
        <v/>
      </c>
      <c r="J355" s="9">
        <f>IF($A355="","",N(XLOOKUP($A355,RetirementPlan!$B:$B,RetirementPlan!$G:$G,0))+N(XLOOKUP($A355,RetirementPlan!$B:$B,RetirementPlan!$H:$H,0)))</f>
        <v/>
      </c>
      <c r="K355">
        <f>IF($A355="","",IF(NOT(ISBLANK(XLOOKUP($A355,RetirementPlan!$B:$B,RetirementPlan!$N:$N,""))),XLOOKUP($A355,RetirementPlan!$B:$B,RetirementPlan!$N:$N,""),LET(cid,$A355,c,FILTER(LocationPlan!$D:$D,LocationPlan!$C:$C=cid),p,FILTER(LocationPlan!$E:$E,LocationPlan!$C:$C=cid),IFERROR(INDEX(c,MATCH(MAX(p),p,0)),""))))</f>
        <v/>
      </c>
    </row>
    <row r="356">
      <c r="B356">
        <f>IF($A356="","",XLOOKUP($A356,Clients!$A:$A,Clients!$D:$D)&amp;" "&amp;XLOOKUP($A356,Clients!$A:$A,Clients!$E:$E))</f>
        <v/>
      </c>
      <c r="C356">
        <f>IF($A356="","",DATEDIF(XLOOKUP($A356,Clients!$A:$A,Clients!$F:$F),VAL_DATE,"Y"))</f>
        <v/>
      </c>
      <c r="D356">
        <f>IF(OR($A356="",E356=""),"",E356-C356)</f>
        <v/>
      </c>
      <c r="E356">
        <f>IF($A356="","",XLOOKUP($A356,RetirementPlan!$B:$B,RetirementPlan!$C:$C,""))</f>
        <v/>
      </c>
      <c r="F356" s="9">
        <f>IF(OR($A356="",D356=""),"",FV(IF(IFERROR(XLOOKUP($A356,RetirementPlan!$B:$B,RetirementPlan!$K:$K,""),"")="",GROWTH,IFERROR(XLOOKUP($A356,RetirementPlan!$B:$B,RetirementPlan!$K:$K,""),"")),D356,-N(XLOOKUP($A356,RetirementPlan!$B:$B,RetirementPlan!$I:$I,0)),-SUMIFS(Assets!$J:$J,Assets!$B:$B,$A356,Assets!$R:$R,"Yes"),0))</f>
        <v/>
      </c>
      <c r="G356" s="9">
        <f>IF(OR($A356="",I356=""),"",MAX(0,(I356-J356)/IF(IFERROR(XLOOKUP($A356,RetirementPlan!$B:$B,RetirementPlan!$M:$M,""),"")="",SWR,IFERROR(XLOOKUP($A356,RetirementPlan!$B:$B,RetirementPlan!$M:$M,""),""))))</f>
        <v/>
      </c>
      <c r="H356" s="9">
        <f>IF(OR($A356="",F356="",G356=""),"",F356-G356)</f>
        <v/>
      </c>
      <c r="I356" s="9">
        <f>IF($A356="","",XLOOKUP($A356,RetirementPlan!$B:$B,RetirementPlan!$E:$E,""))</f>
        <v/>
      </c>
      <c r="J356" s="9">
        <f>IF($A356="","",N(XLOOKUP($A356,RetirementPlan!$B:$B,RetirementPlan!$G:$G,0))+N(XLOOKUP($A356,RetirementPlan!$B:$B,RetirementPlan!$H:$H,0)))</f>
        <v/>
      </c>
      <c r="K356">
        <f>IF($A356="","",IF(NOT(ISBLANK(XLOOKUP($A356,RetirementPlan!$B:$B,RetirementPlan!$N:$N,""))),XLOOKUP($A356,RetirementPlan!$B:$B,RetirementPlan!$N:$N,""),LET(cid,$A356,c,FILTER(LocationPlan!$D:$D,LocationPlan!$C:$C=cid),p,FILTER(LocationPlan!$E:$E,LocationPlan!$C:$C=cid),IFERROR(INDEX(c,MATCH(MAX(p),p,0)),""))))</f>
        <v/>
      </c>
    </row>
    <row r="357">
      <c r="B357">
        <f>IF($A357="","",XLOOKUP($A357,Clients!$A:$A,Clients!$D:$D)&amp;" "&amp;XLOOKUP($A357,Clients!$A:$A,Clients!$E:$E))</f>
        <v/>
      </c>
      <c r="C357">
        <f>IF($A357="","",DATEDIF(XLOOKUP($A357,Clients!$A:$A,Clients!$F:$F),VAL_DATE,"Y"))</f>
        <v/>
      </c>
      <c r="D357">
        <f>IF(OR($A357="",E357=""),"",E357-C357)</f>
        <v/>
      </c>
      <c r="E357">
        <f>IF($A357="","",XLOOKUP($A357,RetirementPlan!$B:$B,RetirementPlan!$C:$C,""))</f>
        <v/>
      </c>
      <c r="F357" s="9">
        <f>IF(OR($A357="",D357=""),"",FV(IF(IFERROR(XLOOKUP($A357,RetirementPlan!$B:$B,RetirementPlan!$K:$K,""),"")="",GROWTH,IFERROR(XLOOKUP($A357,RetirementPlan!$B:$B,RetirementPlan!$K:$K,""),"")),D357,-N(XLOOKUP($A357,RetirementPlan!$B:$B,RetirementPlan!$I:$I,0)),-SUMIFS(Assets!$J:$J,Assets!$B:$B,$A357,Assets!$R:$R,"Yes"),0))</f>
        <v/>
      </c>
      <c r="G357" s="9">
        <f>IF(OR($A357="",I357=""),"",MAX(0,(I357-J357)/IF(IFERROR(XLOOKUP($A357,RetirementPlan!$B:$B,RetirementPlan!$M:$M,""),"")="",SWR,IFERROR(XLOOKUP($A357,RetirementPlan!$B:$B,RetirementPlan!$M:$M,""),""))))</f>
        <v/>
      </c>
      <c r="H357" s="9">
        <f>IF(OR($A357="",F357="",G357=""),"",F357-G357)</f>
        <v/>
      </c>
      <c r="I357" s="9">
        <f>IF($A357="","",XLOOKUP($A357,RetirementPlan!$B:$B,RetirementPlan!$E:$E,""))</f>
        <v/>
      </c>
      <c r="J357" s="9">
        <f>IF($A357="","",N(XLOOKUP($A357,RetirementPlan!$B:$B,RetirementPlan!$G:$G,0))+N(XLOOKUP($A357,RetirementPlan!$B:$B,RetirementPlan!$H:$H,0)))</f>
        <v/>
      </c>
      <c r="K357">
        <f>IF($A357="","",IF(NOT(ISBLANK(XLOOKUP($A357,RetirementPlan!$B:$B,RetirementPlan!$N:$N,""))),XLOOKUP($A357,RetirementPlan!$B:$B,RetirementPlan!$N:$N,""),LET(cid,$A357,c,FILTER(LocationPlan!$D:$D,LocationPlan!$C:$C=cid),p,FILTER(LocationPlan!$E:$E,LocationPlan!$C:$C=cid),IFERROR(INDEX(c,MATCH(MAX(p),p,0)),""))))</f>
        <v/>
      </c>
    </row>
    <row r="358">
      <c r="B358">
        <f>IF($A358="","",XLOOKUP($A358,Clients!$A:$A,Clients!$D:$D)&amp;" "&amp;XLOOKUP($A358,Clients!$A:$A,Clients!$E:$E))</f>
        <v/>
      </c>
      <c r="C358">
        <f>IF($A358="","",DATEDIF(XLOOKUP($A358,Clients!$A:$A,Clients!$F:$F),VAL_DATE,"Y"))</f>
        <v/>
      </c>
      <c r="D358">
        <f>IF(OR($A358="",E358=""),"",E358-C358)</f>
        <v/>
      </c>
      <c r="E358">
        <f>IF($A358="","",XLOOKUP($A358,RetirementPlan!$B:$B,RetirementPlan!$C:$C,""))</f>
        <v/>
      </c>
      <c r="F358" s="9">
        <f>IF(OR($A358="",D358=""),"",FV(IF(IFERROR(XLOOKUP($A358,RetirementPlan!$B:$B,RetirementPlan!$K:$K,""),"")="",GROWTH,IFERROR(XLOOKUP($A358,RetirementPlan!$B:$B,RetirementPlan!$K:$K,""),"")),D358,-N(XLOOKUP($A358,RetirementPlan!$B:$B,RetirementPlan!$I:$I,0)),-SUMIFS(Assets!$J:$J,Assets!$B:$B,$A358,Assets!$R:$R,"Yes"),0))</f>
        <v/>
      </c>
      <c r="G358" s="9">
        <f>IF(OR($A358="",I358=""),"",MAX(0,(I358-J358)/IF(IFERROR(XLOOKUP($A358,RetirementPlan!$B:$B,RetirementPlan!$M:$M,""),"")="",SWR,IFERROR(XLOOKUP($A358,RetirementPlan!$B:$B,RetirementPlan!$M:$M,""),""))))</f>
        <v/>
      </c>
      <c r="H358" s="9">
        <f>IF(OR($A358="",F358="",G358=""),"",F358-G358)</f>
        <v/>
      </c>
      <c r="I358" s="9">
        <f>IF($A358="","",XLOOKUP($A358,RetirementPlan!$B:$B,RetirementPlan!$E:$E,""))</f>
        <v/>
      </c>
      <c r="J358" s="9">
        <f>IF($A358="","",N(XLOOKUP($A358,RetirementPlan!$B:$B,RetirementPlan!$G:$G,0))+N(XLOOKUP($A358,RetirementPlan!$B:$B,RetirementPlan!$H:$H,0)))</f>
        <v/>
      </c>
      <c r="K358">
        <f>IF($A358="","",IF(NOT(ISBLANK(XLOOKUP($A358,RetirementPlan!$B:$B,RetirementPlan!$N:$N,""))),XLOOKUP($A358,RetirementPlan!$B:$B,RetirementPlan!$N:$N,""),LET(cid,$A358,c,FILTER(LocationPlan!$D:$D,LocationPlan!$C:$C=cid),p,FILTER(LocationPlan!$E:$E,LocationPlan!$C:$C=cid),IFERROR(INDEX(c,MATCH(MAX(p),p,0)),""))))</f>
        <v/>
      </c>
    </row>
    <row r="359">
      <c r="B359">
        <f>IF($A359="","",XLOOKUP($A359,Clients!$A:$A,Clients!$D:$D)&amp;" "&amp;XLOOKUP($A359,Clients!$A:$A,Clients!$E:$E))</f>
        <v/>
      </c>
      <c r="C359">
        <f>IF($A359="","",DATEDIF(XLOOKUP($A359,Clients!$A:$A,Clients!$F:$F),VAL_DATE,"Y"))</f>
        <v/>
      </c>
      <c r="D359">
        <f>IF(OR($A359="",E359=""),"",E359-C359)</f>
        <v/>
      </c>
      <c r="E359">
        <f>IF($A359="","",XLOOKUP($A359,RetirementPlan!$B:$B,RetirementPlan!$C:$C,""))</f>
        <v/>
      </c>
      <c r="F359" s="9">
        <f>IF(OR($A359="",D359=""),"",FV(IF(IFERROR(XLOOKUP($A359,RetirementPlan!$B:$B,RetirementPlan!$K:$K,""),"")="",GROWTH,IFERROR(XLOOKUP($A359,RetirementPlan!$B:$B,RetirementPlan!$K:$K,""),"")),D359,-N(XLOOKUP($A359,RetirementPlan!$B:$B,RetirementPlan!$I:$I,0)),-SUMIFS(Assets!$J:$J,Assets!$B:$B,$A359,Assets!$R:$R,"Yes"),0))</f>
        <v/>
      </c>
      <c r="G359" s="9">
        <f>IF(OR($A359="",I359=""),"",MAX(0,(I359-J359)/IF(IFERROR(XLOOKUP($A359,RetirementPlan!$B:$B,RetirementPlan!$M:$M,""),"")="",SWR,IFERROR(XLOOKUP($A359,RetirementPlan!$B:$B,RetirementPlan!$M:$M,""),""))))</f>
        <v/>
      </c>
      <c r="H359" s="9">
        <f>IF(OR($A359="",F359="",G359=""),"",F359-G359)</f>
        <v/>
      </c>
      <c r="I359" s="9">
        <f>IF($A359="","",XLOOKUP($A359,RetirementPlan!$B:$B,RetirementPlan!$E:$E,""))</f>
        <v/>
      </c>
      <c r="J359" s="9">
        <f>IF($A359="","",N(XLOOKUP($A359,RetirementPlan!$B:$B,RetirementPlan!$G:$G,0))+N(XLOOKUP($A359,RetirementPlan!$B:$B,RetirementPlan!$H:$H,0)))</f>
        <v/>
      </c>
      <c r="K359">
        <f>IF($A359="","",IF(NOT(ISBLANK(XLOOKUP($A359,RetirementPlan!$B:$B,RetirementPlan!$N:$N,""))),XLOOKUP($A359,RetirementPlan!$B:$B,RetirementPlan!$N:$N,""),LET(cid,$A359,c,FILTER(LocationPlan!$D:$D,LocationPlan!$C:$C=cid),p,FILTER(LocationPlan!$E:$E,LocationPlan!$C:$C=cid),IFERROR(INDEX(c,MATCH(MAX(p),p,0)),""))))</f>
        <v/>
      </c>
    </row>
    <row r="360">
      <c r="B360">
        <f>IF($A360="","",XLOOKUP($A360,Clients!$A:$A,Clients!$D:$D)&amp;" "&amp;XLOOKUP($A360,Clients!$A:$A,Clients!$E:$E))</f>
        <v/>
      </c>
      <c r="C360">
        <f>IF($A360="","",DATEDIF(XLOOKUP($A360,Clients!$A:$A,Clients!$F:$F),VAL_DATE,"Y"))</f>
        <v/>
      </c>
      <c r="D360">
        <f>IF(OR($A360="",E360=""),"",E360-C360)</f>
        <v/>
      </c>
      <c r="E360">
        <f>IF($A360="","",XLOOKUP($A360,RetirementPlan!$B:$B,RetirementPlan!$C:$C,""))</f>
        <v/>
      </c>
      <c r="F360" s="9">
        <f>IF(OR($A360="",D360=""),"",FV(IF(IFERROR(XLOOKUP($A360,RetirementPlan!$B:$B,RetirementPlan!$K:$K,""),"")="",GROWTH,IFERROR(XLOOKUP($A360,RetirementPlan!$B:$B,RetirementPlan!$K:$K,""),"")),D360,-N(XLOOKUP($A360,RetirementPlan!$B:$B,RetirementPlan!$I:$I,0)),-SUMIFS(Assets!$J:$J,Assets!$B:$B,$A360,Assets!$R:$R,"Yes"),0))</f>
        <v/>
      </c>
      <c r="G360" s="9">
        <f>IF(OR($A360="",I360=""),"",MAX(0,(I360-J360)/IF(IFERROR(XLOOKUP($A360,RetirementPlan!$B:$B,RetirementPlan!$M:$M,""),"")="",SWR,IFERROR(XLOOKUP($A360,RetirementPlan!$B:$B,RetirementPlan!$M:$M,""),""))))</f>
        <v/>
      </c>
      <c r="H360" s="9">
        <f>IF(OR($A360="",F360="",G360=""),"",F360-G360)</f>
        <v/>
      </c>
      <c r="I360" s="9">
        <f>IF($A360="","",XLOOKUP($A360,RetirementPlan!$B:$B,RetirementPlan!$E:$E,""))</f>
        <v/>
      </c>
      <c r="J360" s="9">
        <f>IF($A360="","",N(XLOOKUP($A360,RetirementPlan!$B:$B,RetirementPlan!$G:$G,0))+N(XLOOKUP($A360,RetirementPlan!$B:$B,RetirementPlan!$H:$H,0)))</f>
        <v/>
      </c>
      <c r="K360">
        <f>IF($A360="","",IF(NOT(ISBLANK(XLOOKUP($A360,RetirementPlan!$B:$B,RetirementPlan!$N:$N,""))),XLOOKUP($A360,RetirementPlan!$B:$B,RetirementPlan!$N:$N,""),LET(cid,$A360,c,FILTER(LocationPlan!$D:$D,LocationPlan!$C:$C=cid),p,FILTER(LocationPlan!$E:$E,LocationPlan!$C:$C=cid),IFERROR(INDEX(c,MATCH(MAX(p),p,0)),""))))</f>
        <v/>
      </c>
    </row>
    <row r="361">
      <c r="B361">
        <f>IF($A361="","",XLOOKUP($A361,Clients!$A:$A,Clients!$D:$D)&amp;" "&amp;XLOOKUP($A361,Clients!$A:$A,Clients!$E:$E))</f>
        <v/>
      </c>
      <c r="C361">
        <f>IF($A361="","",DATEDIF(XLOOKUP($A361,Clients!$A:$A,Clients!$F:$F),VAL_DATE,"Y"))</f>
        <v/>
      </c>
      <c r="D361">
        <f>IF(OR($A361="",E361=""),"",E361-C361)</f>
        <v/>
      </c>
      <c r="E361">
        <f>IF($A361="","",XLOOKUP($A361,RetirementPlan!$B:$B,RetirementPlan!$C:$C,""))</f>
        <v/>
      </c>
      <c r="F361" s="9">
        <f>IF(OR($A361="",D361=""),"",FV(IF(IFERROR(XLOOKUP($A361,RetirementPlan!$B:$B,RetirementPlan!$K:$K,""),"")="",GROWTH,IFERROR(XLOOKUP($A361,RetirementPlan!$B:$B,RetirementPlan!$K:$K,""),"")),D361,-N(XLOOKUP($A361,RetirementPlan!$B:$B,RetirementPlan!$I:$I,0)),-SUMIFS(Assets!$J:$J,Assets!$B:$B,$A361,Assets!$R:$R,"Yes"),0))</f>
        <v/>
      </c>
      <c r="G361" s="9">
        <f>IF(OR($A361="",I361=""),"",MAX(0,(I361-J361)/IF(IFERROR(XLOOKUP($A361,RetirementPlan!$B:$B,RetirementPlan!$M:$M,""),"")="",SWR,IFERROR(XLOOKUP($A361,RetirementPlan!$B:$B,RetirementPlan!$M:$M,""),""))))</f>
        <v/>
      </c>
      <c r="H361" s="9">
        <f>IF(OR($A361="",F361="",G361=""),"",F361-G361)</f>
        <v/>
      </c>
      <c r="I361" s="9">
        <f>IF($A361="","",XLOOKUP($A361,RetirementPlan!$B:$B,RetirementPlan!$E:$E,""))</f>
        <v/>
      </c>
      <c r="J361" s="9">
        <f>IF($A361="","",N(XLOOKUP($A361,RetirementPlan!$B:$B,RetirementPlan!$G:$G,0))+N(XLOOKUP($A361,RetirementPlan!$B:$B,RetirementPlan!$H:$H,0)))</f>
        <v/>
      </c>
      <c r="K361">
        <f>IF($A361="","",IF(NOT(ISBLANK(XLOOKUP($A361,RetirementPlan!$B:$B,RetirementPlan!$N:$N,""))),XLOOKUP($A361,RetirementPlan!$B:$B,RetirementPlan!$N:$N,""),LET(cid,$A361,c,FILTER(LocationPlan!$D:$D,LocationPlan!$C:$C=cid),p,FILTER(LocationPlan!$E:$E,LocationPlan!$C:$C=cid),IFERROR(INDEX(c,MATCH(MAX(p),p,0)),""))))</f>
        <v/>
      </c>
    </row>
    <row r="362">
      <c r="B362">
        <f>IF($A362="","",XLOOKUP($A362,Clients!$A:$A,Clients!$D:$D)&amp;" "&amp;XLOOKUP($A362,Clients!$A:$A,Clients!$E:$E))</f>
        <v/>
      </c>
      <c r="C362">
        <f>IF($A362="","",DATEDIF(XLOOKUP($A362,Clients!$A:$A,Clients!$F:$F),VAL_DATE,"Y"))</f>
        <v/>
      </c>
      <c r="D362">
        <f>IF(OR($A362="",E362=""),"",E362-C362)</f>
        <v/>
      </c>
      <c r="E362">
        <f>IF($A362="","",XLOOKUP($A362,RetirementPlan!$B:$B,RetirementPlan!$C:$C,""))</f>
        <v/>
      </c>
      <c r="F362" s="9">
        <f>IF(OR($A362="",D362=""),"",FV(IF(IFERROR(XLOOKUP($A362,RetirementPlan!$B:$B,RetirementPlan!$K:$K,""),"")="",GROWTH,IFERROR(XLOOKUP($A362,RetirementPlan!$B:$B,RetirementPlan!$K:$K,""),"")),D362,-N(XLOOKUP($A362,RetirementPlan!$B:$B,RetirementPlan!$I:$I,0)),-SUMIFS(Assets!$J:$J,Assets!$B:$B,$A362,Assets!$R:$R,"Yes"),0))</f>
        <v/>
      </c>
      <c r="G362" s="9">
        <f>IF(OR($A362="",I362=""),"",MAX(0,(I362-J362)/IF(IFERROR(XLOOKUP($A362,RetirementPlan!$B:$B,RetirementPlan!$M:$M,""),"")="",SWR,IFERROR(XLOOKUP($A362,RetirementPlan!$B:$B,RetirementPlan!$M:$M,""),""))))</f>
        <v/>
      </c>
      <c r="H362" s="9">
        <f>IF(OR($A362="",F362="",G362=""),"",F362-G362)</f>
        <v/>
      </c>
      <c r="I362" s="9">
        <f>IF($A362="","",XLOOKUP($A362,RetirementPlan!$B:$B,RetirementPlan!$E:$E,""))</f>
        <v/>
      </c>
      <c r="J362" s="9">
        <f>IF($A362="","",N(XLOOKUP($A362,RetirementPlan!$B:$B,RetirementPlan!$G:$G,0))+N(XLOOKUP($A362,RetirementPlan!$B:$B,RetirementPlan!$H:$H,0)))</f>
        <v/>
      </c>
      <c r="K362">
        <f>IF($A362="","",IF(NOT(ISBLANK(XLOOKUP($A362,RetirementPlan!$B:$B,RetirementPlan!$N:$N,""))),XLOOKUP($A362,RetirementPlan!$B:$B,RetirementPlan!$N:$N,""),LET(cid,$A362,c,FILTER(LocationPlan!$D:$D,LocationPlan!$C:$C=cid),p,FILTER(LocationPlan!$E:$E,LocationPlan!$C:$C=cid),IFERROR(INDEX(c,MATCH(MAX(p),p,0)),""))))</f>
        <v/>
      </c>
    </row>
    <row r="363">
      <c r="B363">
        <f>IF($A363="","",XLOOKUP($A363,Clients!$A:$A,Clients!$D:$D)&amp;" "&amp;XLOOKUP($A363,Clients!$A:$A,Clients!$E:$E))</f>
        <v/>
      </c>
      <c r="C363">
        <f>IF($A363="","",DATEDIF(XLOOKUP($A363,Clients!$A:$A,Clients!$F:$F),VAL_DATE,"Y"))</f>
        <v/>
      </c>
      <c r="D363">
        <f>IF(OR($A363="",E363=""),"",E363-C363)</f>
        <v/>
      </c>
      <c r="E363">
        <f>IF($A363="","",XLOOKUP($A363,RetirementPlan!$B:$B,RetirementPlan!$C:$C,""))</f>
        <v/>
      </c>
      <c r="F363" s="9">
        <f>IF(OR($A363="",D363=""),"",FV(IF(IFERROR(XLOOKUP($A363,RetirementPlan!$B:$B,RetirementPlan!$K:$K,""),"")="",GROWTH,IFERROR(XLOOKUP($A363,RetirementPlan!$B:$B,RetirementPlan!$K:$K,""),"")),D363,-N(XLOOKUP($A363,RetirementPlan!$B:$B,RetirementPlan!$I:$I,0)),-SUMIFS(Assets!$J:$J,Assets!$B:$B,$A363,Assets!$R:$R,"Yes"),0))</f>
        <v/>
      </c>
      <c r="G363" s="9">
        <f>IF(OR($A363="",I363=""),"",MAX(0,(I363-J363)/IF(IFERROR(XLOOKUP($A363,RetirementPlan!$B:$B,RetirementPlan!$M:$M,""),"")="",SWR,IFERROR(XLOOKUP($A363,RetirementPlan!$B:$B,RetirementPlan!$M:$M,""),""))))</f>
        <v/>
      </c>
      <c r="H363" s="9">
        <f>IF(OR($A363="",F363="",G363=""),"",F363-G363)</f>
        <v/>
      </c>
      <c r="I363" s="9">
        <f>IF($A363="","",XLOOKUP($A363,RetirementPlan!$B:$B,RetirementPlan!$E:$E,""))</f>
        <v/>
      </c>
      <c r="J363" s="9">
        <f>IF($A363="","",N(XLOOKUP($A363,RetirementPlan!$B:$B,RetirementPlan!$G:$G,0))+N(XLOOKUP($A363,RetirementPlan!$B:$B,RetirementPlan!$H:$H,0)))</f>
        <v/>
      </c>
      <c r="K363">
        <f>IF($A363="","",IF(NOT(ISBLANK(XLOOKUP($A363,RetirementPlan!$B:$B,RetirementPlan!$N:$N,""))),XLOOKUP($A363,RetirementPlan!$B:$B,RetirementPlan!$N:$N,""),LET(cid,$A363,c,FILTER(LocationPlan!$D:$D,LocationPlan!$C:$C=cid),p,FILTER(LocationPlan!$E:$E,LocationPlan!$C:$C=cid),IFERROR(INDEX(c,MATCH(MAX(p),p,0)),""))))</f>
        <v/>
      </c>
    </row>
    <row r="364">
      <c r="B364">
        <f>IF($A364="","",XLOOKUP($A364,Clients!$A:$A,Clients!$D:$D)&amp;" "&amp;XLOOKUP($A364,Clients!$A:$A,Clients!$E:$E))</f>
        <v/>
      </c>
      <c r="C364">
        <f>IF($A364="","",DATEDIF(XLOOKUP($A364,Clients!$A:$A,Clients!$F:$F),VAL_DATE,"Y"))</f>
        <v/>
      </c>
      <c r="D364">
        <f>IF(OR($A364="",E364=""),"",E364-C364)</f>
        <v/>
      </c>
      <c r="E364">
        <f>IF($A364="","",XLOOKUP($A364,RetirementPlan!$B:$B,RetirementPlan!$C:$C,""))</f>
        <v/>
      </c>
      <c r="F364" s="9">
        <f>IF(OR($A364="",D364=""),"",FV(IF(IFERROR(XLOOKUP($A364,RetirementPlan!$B:$B,RetirementPlan!$K:$K,""),"")="",GROWTH,IFERROR(XLOOKUP($A364,RetirementPlan!$B:$B,RetirementPlan!$K:$K,""),"")),D364,-N(XLOOKUP($A364,RetirementPlan!$B:$B,RetirementPlan!$I:$I,0)),-SUMIFS(Assets!$J:$J,Assets!$B:$B,$A364,Assets!$R:$R,"Yes"),0))</f>
        <v/>
      </c>
      <c r="G364" s="9">
        <f>IF(OR($A364="",I364=""),"",MAX(0,(I364-J364)/IF(IFERROR(XLOOKUP($A364,RetirementPlan!$B:$B,RetirementPlan!$M:$M,""),"")="",SWR,IFERROR(XLOOKUP($A364,RetirementPlan!$B:$B,RetirementPlan!$M:$M,""),""))))</f>
        <v/>
      </c>
      <c r="H364" s="9">
        <f>IF(OR($A364="",F364="",G364=""),"",F364-G364)</f>
        <v/>
      </c>
      <c r="I364" s="9">
        <f>IF($A364="","",XLOOKUP($A364,RetirementPlan!$B:$B,RetirementPlan!$E:$E,""))</f>
        <v/>
      </c>
      <c r="J364" s="9">
        <f>IF($A364="","",N(XLOOKUP($A364,RetirementPlan!$B:$B,RetirementPlan!$G:$G,0))+N(XLOOKUP($A364,RetirementPlan!$B:$B,RetirementPlan!$H:$H,0)))</f>
        <v/>
      </c>
      <c r="K364">
        <f>IF($A364="","",IF(NOT(ISBLANK(XLOOKUP($A364,RetirementPlan!$B:$B,RetirementPlan!$N:$N,""))),XLOOKUP($A364,RetirementPlan!$B:$B,RetirementPlan!$N:$N,""),LET(cid,$A364,c,FILTER(LocationPlan!$D:$D,LocationPlan!$C:$C=cid),p,FILTER(LocationPlan!$E:$E,LocationPlan!$C:$C=cid),IFERROR(INDEX(c,MATCH(MAX(p),p,0)),""))))</f>
        <v/>
      </c>
    </row>
    <row r="365">
      <c r="B365">
        <f>IF($A365="","",XLOOKUP($A365,Clients!$A:$A,Clients!$D:$D)&amp;" "&amp;XLOOKUP($A365,Clients!$A:$A,Clients!$E:$E))</f>
        <v/>
      </c>
      <c r="C365">
        <f>IF($A365="","",DATEDIF(XLOOKUP($A365,Clients!$A:$A,Clients!$F:$F),VAL_DATE,"Y"))</f>
        <v/>
      </c>
      <c r="D365">
        <f>IF(OR($A365="",E365=""),"",E365-C365)</f>
        <v/>
      </c>
      <c r="E365">
        <f>IF($A365="","",XLOOKUP($A365,RetirementPlan!$B:$B,RetirementPlan!$C:$C,""))</f>
        <v/>
      </c>
      <c r="F365" s="9">
        <f>IF(OR($A365="",D365=""),"",FV(IF(IFERROR(XLOOKUP($A365,RetirementPlan!$B:$B,RetirementPlan!$K:$K,""),"")="",GROWTH,IFERROR(XLOOKUP($A365,RetirementPlan!$B:$B,RetirementPlan!$K:$K,""),"")),D365,-N(XLOOKUP($A365,RetirementPlan!$B:$B,RetirementPlan!$I:$I,0)),-SUMIFS(Assets!$J:$J,Assets!$B:$B,$A365,Assets!$R:$R,"Yes"),0))</f>
        <v/>
      </c>
      <c r="G365" s="9">
        <f>IF(OR($A365="",I365=""),"",MAX(0,(I365-J365)/IF(IFERROR(XLOOKUP($A365,RetirementPlan!$B:$B,RetirementPlan!$M:$M,""),"")="",SWR,IFERROR(XLOOKUP($A365,RetirementPlan!$B:$B,RetirementPlan!$M:$M,""),""))))</f>
        <v/>
      </c>
      <c r="H365" s="9">
        <f>IF(OR($A365="",F365="",G365=""),"",F365-G365)</f>
        <v/>
      </c>
      <c r="I365" s="9">
        <f>IF($A365="","",XLOOKUP($A365,RetirementPlan!$B:$B,RetirementPlan!$E:$E,""))</f>
        <v/>
      </c>
      <c r="J365" s="9">
        <f>IF($A365="","",N(XLOOKUP($A365,RetirementPlan!$B:$B,RetirementPlan!$G:$G,0))+N(XLOOKUP($A365,RetirementPlan!$B:$B,RetirementPlan!$H:$H,0)))</f>
        <v/>
      </c>
      <c r="K365">
        <f>IF($A365="","",IF(NOT(ISBLANK(XLOOKUP($A365,RetirementPlan!$B:$B,RetirementPlan!$N:$N,""))),XLOOKUP($A365,RetirementPlan!$B:$B,RetirementPlan!$N:$N,""),LET(cid,$A365,c,FILTER(LocationPlan!$D:$D,LocationPlan!$C:$C=cid),p,FILTER(LocationPlan!$E:$E,LocationPlan!$C:$C=cid),IFERROR(INDEX(c,MATCH(MAX(p),p,0)),""))))</f>
        <v/>
      </c>
    </row>
    <row r="366">
      <c r="B366">
        <f>IF($A366="","",XLOOKUP($A366,Clients!$A:$A,Clients!$D:$D)&amp;" "&amp;XLOOKUP($A366,Clients!$A:$A,Clients!$E:$E))</f>
        <v/>
      </c>
      <c r="C366">
        <f>IF($A366="","",DATEDIF(XLOOKUP($A366,Clients!$A:$A,Clients!$F:$F),VAL_DATE,"Y"))</f>
        <v/>
      </c>
      <c r="D366">
        <f>IF(OR($A366="",E366=""),"",E366-C366)</f>
        <v/>
      </c>
      <c r="E366">
        <f>IF($A366="","",XLOOKUP($A366,RetirementPlan!$B:$B,RetirementPlan!$C:$C,""))</f>
        <v/>
      </c>
      <c r="F366" s="9">
        <f>IF(OR($A366="",D366=""),"",FV(IF(IFERROR(XLOOKUP($A366,RetirementPlan!$B:$B,RetirementPlan!$K:$K,""),"")="",GROWTH,IFERROR(XLOOKUP($A366,RetirementPlan!$B:$B,RetirementPlan!$K:$K,""),"")),D366,-N(XLOOKUP($A366,RetirementPlan!$B:$B,RetirementPlan!$I:$I,0)),-SUMIFS(Assets!$J:$J,Assets!$B:$B,$A366,Assets!$R:$R,"Yes"),0))</f>
        <v/>
      </c>
      <c r="G366" s="9">
        <f>IF(OR($A366="",I366=""),"",MAX(0,(I366-J366)/IF(IFERROR(XLOOKUP($A366,RetirementPlan!$B:$B,RetirementPlan!$M:$M,""),"")="",SWR,IFERROR(XLOOKUP($A366,RetirementPlan!$B:$B,RetirementPlan!$M:$M,""),""))))</f>
        <v/>
      </c>
      <c r="H366" s="9">
        <f>IF(OR($A366="",F366="",G366=""),"",F366-G366)</f>
        <v/>
      </c>
      <c r="I366" s="9">
        <f>IF($A366="","",XLOOKUP($A366,RetirementPlan!$B:$B,RetirementPlan!$E:$E,""))</f>
        <v/>
      </c>
      <c r="J366" s="9">
        <f>IF($A366="","",N(XLOOKUP($A366,RetirementPlan!$B:$B,RetirementPlan!$G:$G,0))+N(XLOOKUP($A366,RetirementPlan!$B:$B,RetirementPlan!$H:$H,0)))</f>
        <v/>
      </c>
      <c r="K366">
        <f>IF($A366="","",IF(NOT(ISBLANK(XLOOKUP($A366,RetirementPlan!$B:$B,RetirementPlan!$N:$N,""))),XLOOKUP($A366,RetirementPlan!$B:$B,RetirementPlan!$N:$N,""),LET(cid,$A366,c,FILTER(LocationPlan!$D:$D,LocationPlan!$C:$C=cid),p,FILTER(LocationPlan!$E:$E,LocationPlan!$C:$C=cid),IFERROR(INDEX(c,MATCH(MAX(p),p,0)),""))))</f>
        <v/>
      </c>
    </row>
    <row r="367">
      <c r="B367">
        <f>IF($A367="","",XLOOKUP($A367,Clients!$A:$A,Clients!$D:$D)&amp;" "&amp;XLOOKUP($A367,Clients!$A:$A,Clients!$E:$E))</f>
        <v/>
      </c>
      <c r="C367">
        <f>IF($A367="","",DATEDIF(XLOOKUP($A367,Clients!$A:$A,Clients!$F:$F),VAL_DATE,"Y"))</f>
        <v/>
      </c>
      <c r="D367">
        <f>IF(OR($A367="",E367=""),"",E367-C367)</f>
        <v/>
      </c>
      <c r="E367">
        <f>IF($A367="","",XLOOKUP($A367,RetirementPlan!$B:$B,RetirementPlan!$C:$C,""))</f>
        <v/>
      </c>
      <c r="F367" s="9">
        <f>IF(OR($A367="",D367=""),"",FV(IF(IFERROR(XLOOKUP($A367,RetirementPlan!$B:$B,RetirementPlan!$K:$K,""),"")="",GROWTH,IFERROR(XLOOKUP($A367,RetirementPlan!$B:$B,RetirementPlan!$K:$K,""),"")),D367,-N(XLOOKUP($A367,RetirementPlan!$B:$B,RetirementPlan!$I:$I,0)),-SUMIFS(Assets!$J:$J,Assets!$B:$B,$A367,Assets!$R:$R,"Yes"),0))</f>
        <v/>
      </c>
      <c r="G367" s="9">
        <f>IF(OR($A367="",I367=""),"",MAX(0,(I367-J367)/IF(IFERROR(XLOOKUP($A367,RetirementPlan!$B:$B,RetirementPlan!$M:$M,""),"")="",SWR,IFERROR(XLOOKUP($A367,RetirementPlan!$B:$B,RetirementPlan!$M:$M,""),""))))</f>
        <v/>
      </c>
      <c r="H367" s="9">
        <f>IF(OR($A367="",F367="",G367=""),"",F367-G367)</f>
        <v/>
      </c>
      <c r="I367" s="9">
        <f>IF($A367="","",XLOOKUP($A367,RetirementPlan!$B:$B,RetirementPlan!$E:$E,""))</f>
        <v/>
      </c>
      <c r="J367" s="9">
        <f>IF($A367="","",N(XLOOKUP($A367,RetirementPlan!$B:$B,RetirementPlan!$G:$G,0))+N(XLOOKUP($A367,RetirementPlan!$B:$B,RetirementPlan!$H:$H,0)))</f>
        <v/>
      </c>
      <c r="K367">
        <f>IF($A367="","",IF(NOT(ISBLANK(XLOOKUP($A367,RetirementPlan!$B:$B,RetirementPlan!$N:$N,""))),XLOOKUP($A367,RetirementPlan!$B:$B,RetirementPlan!$N:$N,""),LET(cid,$A367,c,FILTER(LocationPlan!$D:$D,LocationPlan!$C:$C=cid),p,FILTER(LocationPlan!$E:$E,LocationPlan!$C:$C=cid),IFERROR(INDEX(c,MATCH(MAX(p),p,0)),""))))</f>
        <v/>
      </c>
    </row>
    <row r="368">
      <c r="B368">
        <f>IF($A368="","",XLOOKUP($A368,Clients!$A:$A,Clients!$D:$D)&amp;" "&amp;XLOOKUP($A368,Clients!$A:$A,Clients!$E:$E))</f>
        <v/>
      </c>
      <c r="C368">
        <f>IF($A368="","",DATEDIF(XLOOKUP($A368,Clients!$A:$A,Clients!$F:$F),VAL_DATE,"Y"))</f>
        <v/>
      </c>
      <c r="D368">
        <f>IF(OR($A368="",E368=""),"",E368-C368)</f>
        <v/>
      </c>
      <c r="E368">
        <f>IF($A368="","",XLOOKUP($A368,RetirementPlan!$B:$B,RetirementPlan!$C:$C,""))</f>
        <v/>
      </c>
      <c r="F368" s="9">
        <f>IF(OR($A368="",D368=""),"",FV(IF(IFERROR(XLOOKUP($A368,RetirementPlan!$B:$B,RetirementPlan!$K:$K,""),"")="",GROWTH,IFERROR(XLOOKUP($A368,RetirementPlan!$B:$B,RetirementPlan!$K:$K,""),"")),D368,-N(XLOOKUP($A368,RetirementPlan!$B:$B,RetirementPlan!$I:$I,0)),-SUMIFS(Assets!$J:$J,Assets!$B:$B,$A368,Assets!$R:$R,"Yes"),0))</f>
        <v/>
      </c>
      <c r="G368" s="9">
        <f>IF(OR($A368="",I368=""),"",MAX(0,(I368-J368)/IF(IFERROR(XLOOKUP($A368,RetirementPlan!$B:$B,RetirementPlan!$M:$M,""),"")="",SWR,IFERROR(XLOOKUP($A368,RetirementPlan!$B:$B,RetirementPlan!$M:$M,""),""))))</f>
        <v/>
      </c>
      <c r="H368" s="9">
        <f>IF(OR($A368="",F368="",G368=""),"",F368-G368)</f>
        <v/>
      </c>
      <c r="I368" s="9">
        <f>IF($A368="","",XLOOKUP($A368,RetirementPlan!$B:$B,RetirementPlan!$E:$E,""))</f>
        <v/>
      </c>
      <c r="J368" s="9">
        <f>IF($A368="","",N(XLOOKUP($A368,RetirementPlan!$B:$B,RetirementPlan!$G:$G,0))+N(XLOOKUP($A368,RetirementPlan!$B:$B,RetirementPlan!$H:$H,0)))</f>
        <v/>
      </c>
      <c r="K368">
        <f>IF($A368="","",IF(NOT(ISBLANK(XLOOKUP($A368,RetirementPlan!$B:$B,RetirementPlan!$N:$N,""))),XLOOKUP($A368,RetirementPlan!$B:$B,RetirementPlan!$N:$N,""),LET(cid,$A368,c,FILTER(LocationPlan!$D:$D,LocationPlan!$C:$C=cid),p,FILTER(LocationPlan!$E:$E,LocationPlan!$C:$C=cid),IFERROR(INDEX(c,MATCH(MAX(p),p,0)),""))))</f>
        <v/>
      </c>
    </row>
    <row r="369">
      <c r="B369">
        <f>IF($A369="","",XLOOKUP($A369,Clients!$A:$A,Clients!$D:$D)&amp;" "&amp;XLOOKUP($A369,Clients!$A:$A,Clients!$E:$E))</f>
        <v/>
      </c>
      <c r="C369">
        <f>IF($A369="","",DATEDIF(XLOOKUP($A369,Clients!$A:$A,Clients!$F:$F),VAL_DATE,"Y"))</f>
        <v/>
      </c>
      <c r="D369">
        <f>IF(OR($A369="",E369=""),"",E369-C369)</f>
        <v/>
      </c>
      <c r="E369">
        <f>IF($A369="","",XLOOKUP($A369,RetirementPlan!$B:$B,RetirementPlan!$C:$C,""))</f>
        <v/>
      </c>
      <c r="F369" s="9">
        <f>IF(OR($A369="",D369=""),"",FV(IF(IFERROR(XLOOKUP($A369,RetirementPlan!$B:$B,RetirementPlan!$K:$K,""),"")="",GROWTH,IFERROR(XLOOKUP($A369,RetirementPlan!$B:$B,RetirementPlan!$K:$K,""),"")),D369,-N(XLOOKUP($A369,RetirementPlan!$B:$B,RetirementPlan!$I:$I,0)),-SUMIFS(Assets!$J:$J,Assets!$B:$B,$A369,Assets!$R:$R,"Yes"),0))</f>
        <v/>
      </c>
      <c r="G369" s="9">
        <f>IF(OR($A369="",I369=""),"",MAX(0,(I369-J369)/IF(IFERROR(XLOOKUP($A369,RetirementPlan!$B:$B,RetirementPlan!$M:$M,""),"")="",SWR,IFERROR(XLOOKUP($A369,RetirementPlan!$B:$B,RetirementPlan!$M:$M,""),""))))</f>
        <v/>
      </c>
      <c r="H369" s="9">
        <f>IF(OR($A369="",F369="",G369=""),"",F369-G369)</f>
        <v/>
      </c>
      <c r="I369" s="9">
        <f>IF($A369="","",XLOOKUP($A369,RetirementPlan!$B:$B,RetirementPlan!$E:$E,""))</f>
        <v/>
      </c>
      <c r="J369" s="9">
        <f>IF($A369="","",N(XLOOKUP($A369,RetirementPlan!$B:$B,RetirementPlan!$G:$G,0))+N(XLOOKUP($A369,RetirementPlan!$B:$B,RetirementPlan!$H:$H,0)))</f>
        <v/>
      </c>
      <c r="K369">
        <f>IF($A369="","",IF(NOT(ISBLANK(XLOOKUP($A369,RetirementPlan!$B:$B,RetirementPlan!$N:$N,""))),XLOOKUP($A369,RetirementPlan!$B:$B,RetirementPlan!$N:$N,""),LET(cid,$A369,c,FILTER(LocationPlan!$D:$D,LocationPlan!$C:$C=cid),p,FILTER(LocationPlan!$E:$E,LocationPlan!$C:$C=cid),IFERROR(INDEX(c,MATCH(MAX(p),p,0)),""))))</f>
        <v/>
      </c>
    </row>
    <row r="370">
      <c r="B370">
        <f>IF($A370="","",XLOOKUP($A370,Clients!$A:$A,Clients!$D:$D)&amp;" "&amp;XLOOKUP($A370,Clients!$A:$A,Clients!$E:$E))</f>
        <v/>
      </c>
      <c r="C370">
        <f>IF($A370="","",DATEDIF(XLOOKUP($A370,Clients!$A:$A,Clients!$F:$F),VAL_DATE,"Y"))</f>
        <v/>
      </c>
      <c r="D370">
        <f>IF(OR($A370="",E370=""),"",E370-C370)</f>
        <v/>
      </c>
      <c r="E370">
        <f>IF($A370="","",XLOOKUP($A370,RetirementPlan!$B:$B,RetirementPlan!$C:$C,""))</f>
        <v/>
      </c>
      <c r="F370" s="9">
        <f>IF(OR($A370="",D370=""),"",FV(IF(IFERROR(XLOOKUP($A370,RetirementPlan!$B:$B,RetirementPlan!$K:$K,""),"")="",GROWTH,IFERROR(XLOOKUP($A370,RetirementPlan!$B:$B,RetirementPlan!$K:$K,""),"")),D370,-N(XLOOKUP($A370,RetirementPlan!$B:$B,RetirementPlan!$I:$I,0)),-SUMIFS(Assets!$J:$J,Assets!$B:$B,$A370,Assets!$R:$R,"Yes"),0))</f>
        <v/>
      </c>
      <c r="G370" s="9">
        <f>IF(OR($A370="",I370=""),"",MAX(0,(I370-J370)/IF(IFERROR(XLOOKUP($A370,RetirementPlan!$B:$B,RetirementPlan!$M:$M,""),"")="",SWR,IFERROR(XLOOKUP($A370,RetirementPlan!$B:$B,RetirementPlan!$M:$M,""),""))))</f>
        <v/>
      </c>
      <c r="H370" s="9">
        <f>IF(OR($A370="",F370="",G370=""),"",F370-G370)</f>
        <v/>
      </c>
      <c r="I370" s="9">
        <f>IF($A370="","",XLOOKUP($A370,RetirementPlan!$B:$B,RetirementPlan!$E:$E,""))</f>
        <v/>
      </c>
      <c r="J370" s="9">
        <f>IF($A370="","",N(XLOOKUP($A370,RetirementPlan!$B:$B,RetirementPlan!$G:$G,0))+N(XLOOKUP($A370,RetirementPlan!$B:$B,RetirementPlan!$H:$H,0)))</f>
        <v/>
      </c>
      <c r="K370">
        <f>IF($A370="","",IF(NOT(ISBLANK(XLOOKUP($A370,RetirementPlan!$B:$B,RetirementPlan!$N:$N,""))),XLOOKUP($A370,RetirementPlan!$B:$B,RetirementPlan!$N:$N,""),LET(cid,$A370,c,FILTER(LocationPlan!$D:$D,LocationPlan!$C:$C=cid),p,FILTER(LocationPlan!$E:$E,LocationPlan!$C:$C=cid),IFERROR(INDEX(c,MATCH(MAX(p),p,0)),""))))</f>
        <v/>
      </c>
    </row>
    <row r="371">
      <c r="B371">
        <f>IF($A371="","",XLOOKUP($A371,Clients!$A:$A,Clients!$D:$D)&amp;" "&amp;XLOOKUP($A371,Clients!$A:$A,Clients!$E:$E))</f>
        <v/>
      </c>
      <c r="C371">
        <f>IF($A371="","",DATEDIF(XLOOKUP($A371,Clients!$A:$A,Clients!$F:$F),VAL_DATE,"Y"))</f>
        <v/>
      </c>
      <c r="D371">
        <f>IF(OR($A371="",E371=""),"",E371-C371)</f>
        <v/>
      </c>
      <c r="E371">
        <f>IF($A371="","",XLOOKUP($A371,RetirementPlan!$B:$B,RetirementPlan!$C:$C,""))</f>
        <v/>
      </c>
      <c r="F371" s="9">
        <f>IF(OR($A371="",D371=""),"",FV(IF(IFERROR(XLOOKUP($A371,RetirementPlan!$B:$B,RetirementPlan!$K:$K,""),"")="",GROWTH,IFERROR(XLOOKUP($A371,RetirementPlan!$B:$B,RetirementPlan!$K:$K,""),"")),D371,-N(XLOOKUP($A371,RetirementPlan!$B:$B,RetirementPlan!$I:$I,0)),-SUMIFS(Assets!$J:$J,Assets!$B:$B,$A371,Assets!$R:$R,"Yes"),0))</f>
        <v/>
      </c>
      <c r="G371" s="9">
        <f>IF(OR($A371="",I371=""),"",MAX(0,(I371-J371)/IF(IFERROR(XLOOKUP($A371,RetirementPlan!$B:$B,RetirementPlan!$M:$M,""),"")="",SWR,IFERROR(XLOOKUP($A371,RetirementPlan!$B:$B,RetirementPlan!$M:$M,""),""))))</f>
        <v/>
      </c>
      <c r="H371" s="9">
        <f>IF(OR($A371="",F371="",G371=""),"",F371-G371)</f>
        <v/>
      </c>
      <c r="I371" s="9">
        <f>IF($A371="","",XLOOKUP($A371,RetirementPlan!$B:$B,RetirementPlan!$E:$E,""))</f>
        <v/>
      </c>
      <c r="J371" s="9">
        <f>IF($A371="","",N(XLOOKUP($A371,RetirementPlan!$B:$B,RetirementPlan!$G:$G,0))+N(XLOOKUP($A371,RetirementPlan!$B:$B,RetirementPlan!$H:$H,0)))</f>
        <v/>
      </c>
      <c r="K371">
        <f>IF($A371="","",IF(NOT(ISBLANK(XLOOKUP($A371,RetirementPlan!$B:$B,RetirementPlan!$N:$N,""))),XLOOKUP($A371,RetirementPlan!$B:$B,RetirementPlan!$N:$N,""),LET(cid,$A371,c,FILTER(LocationPlan!$D:$D,LocationPlan!$C:$C=cid),p,FILTER(LocationPlan!$E:$E,LocationPlan!$C:$C=cid),IFERROR(INDEX(c,MATCH(MAX(p),p,0)),""))))</f>
        <v/>
      </c>
    </row>
    <row r="372">
      <c r="B372">
        <f>IF($A372="","",XLOOKUP($A372,Clients!$A:$A,Clients!$D:$D)&amp;" "&amp;XLOOKUP($A372,Clients!$A:$A,Clients!$E:$E))</f>
        <v/>
      </c>
      <c r="C372">
        <f>IF($A372="","",DATEDIF(XLOOKUP($A372,Clients!$A:$A,Clients!$F:$F),VAL_DATE,"Y"))</f>
        <v/>
      </c>
      <c r="D372">
        <f>IF(OR($A372="",E372=""),"",E372-C372)</f>
        <v/>
      </c>
      <c r="E372">
        <f>IF($A372="","",XLOOKUP($A372,RetirementPlan!$B:$B,RetirementPlan!$C:$C,""))</f>
        <v/>
      </c>
      <c r="F372" s="9">
        <f>IF(OR($A372="",D372=""),"",FV(IF(IFERROR(XLOOKUP($A372,RetirementPlan!$B:$B,RetirementPlan!$K:$K,""),"")="",GROWTH,IFERROR(XLOOKUP($A372,RetirementPlan!$B:$B,RetirementPlan!$K:$K,""),"")),D372,-N(XLOOKUP($A372,RetirementPlan!$B:$B,RetirementPlan!$I:$I,0)),-SUMIFS(Assets!$J:$J,Assets!$B:$B,$A372,Assets!$R:$R,"Yes"),0))</f>
        <v/>
      </c>
      <c r="G372" s="9">
        <f>IF(OR($A372="",I372=""),"",MAX(0,(I372-J372)/IF(IFERROR(XLOOKUP($A372,RetirementPlan!$B:$B,RetirementPlan!$M:$M,""),"")="",SWR,IFERROR(XLOOKUP($A372,RetirementPlan!$B:$B,RetirementPlan!$M:$M,""),""))))</f>
        <v/>
      </c>
      <c r="H372" s="9">
        <f>IF(OR($A372="",F372="",G372=""),"",F372-G372)</f>
        <v/>
      </c>
      <c r="I372" s="9">
        <f>IF($A372="","",XLOOKUP($A372,RetirementPlan!$B:$B,RetirementPlan!$E:$E,""))</f>
        <v/>
      </c>
      <c r="J372" s="9">
        <f>IF($A372="","",N(XLOOKUP($A372,RetirementPlan!$B:$B,RetirementPlan!$G:$G,0))+N(XLOOKUP($A372,RetirementPlan!$B:$B,RetirementPlan!$H:$H,0)))</f>
        <v/>
      </c>
      <c r="K372">
        <f>IF($A372="","",IF(NOT(ISBLANK(XLOOKUP($A372,RetirementPlan!$B:$B,RetirementPlan!$N:$N,""))),XLOOKUP($A372,RetirementPlan!$B:$B,RetirementPlan!$N:$N,""),LET(cid,$A372,c,FILTER(LocationPlan!$D:$D,LocationPlan!$C:$C=cid),p,FILTER(LocationPlan!$E:$E,LocationPlan!$C:$C=cid),IFERROR(INDEX(c,MATCH(MAX(p),p,0)),""))))</f>
        <v/>
      </c>
    </row>
    <row r="373">
      <c r="B373">
        <f>IF($A373="","",XLOOKUP($A373,Clients!$A:$A,Clients!$D:$D)&amp;" "&amp;XLOOKUP($A373,Clients!$A:$A,Clients!$E:$E))</f>
        <v/>
      </c>
      <c r="C373">
        <f>IF($A373="","",DATEDIF(XLOOKUP($A373,Clients!$A:$A,Clients!$F:$F),VAL_DATE,"Y"))</f>
        <v/>
      </c>
      <c r="D373">
        <f>IF(OR($A373="",E373=""),"",E373-C373)</f>
        <v/>
      </c>
      <c r="E373">
        <f>IF($A373="","",XLOOKUP($A373,RetirementPlan!$B:$B,RetirementPlan!$C:$C,""))</f>
        <v/>
      </c>
      <c r="F373" s="9">
        <f>IF(OR($A373="",D373=""),"",FV(IF(IFERROR(XLOOKUP($A373,RetirementPlan!$B:$B,RetirementPlan!$K:$K,""),"")="",GROWTH,IFERROR(XLOOKUP($A373,RetirementPlan!$B:$B,RetirementPlan!$K:$K,""),"")),D373,-N(XLOOKUP($A373,RetirementPlan!$B:$B,RetirementPlan!$I:$I,0)),-SUMIFS(Assets!$J:$J,Assets!$B:$B,$A373,Assets!$R:$R,"Yes"),0))</f>
        <v/>
      </c>
      <c r="G373" s="9">
        <f>IF(OR($A373="",I373=""),"",MAX(0,(I373-J373)/IF(IFERROR(XLOOKUP($A373,RetirementPlan!$B:$B,RetirementPlan!$M:$M,""),"")="",SWR,IFERROR(XLOOKUP($A373,RetirementPlan!$B:$B,RetirementPlan!$M:$M,""),""))))</f>
        <v/>
      </c>
      <c r="H373" s="9">
        <f>IF(OR($A373="",F373="",G373=""),"",F373-G373)</f>
        <v/>
      </c>
      <c r="I373" s="9">
        <f>IF($A373="","",XLOOKUP($A373,RetirementPlan!$B:$B,RetirementPlan!$E:$E,""))</f>
        <v/>
      </c>
      <c r="J373" s="9">
        <f>IF($A373="","",N(XLOOKUP($A373,RetirementPlan!$B:$B,RetirementPlan!$G:$G,0))+N(XLOOKUP($A373,RetirementPlan!$B:$B,RetirementPlan!$H:$H,0)))</f>
        <v/>
      </c>
      <c r="K373">
        <f>IF($A373="","",IF(NOT(ISBLANK(XLOOKUP($A373,RetirementPlan!$B:$B,RetirementPlan!$N:$N,""))),XLOOKUP($A373,RetirementPlan!$B:$B,RetirementPlan!$N:$N,""),LET(cid,$A373,c,FILTER(LocationPlan!$D:$D,LocationPlan!$C:$C=cid),p,FILTER(LocationPlan!$E:$E,LocationPlan!$C:$C=cid),IFERROR(INDEX(c,MATCH(MAX(p),p,0)),""))))</f>
        <v/>
      </c>
    </row>
    <row r="374">
      <c r="B374">
        <f>IF($A374="","",XLOOKUP($A374,Clients!$A:$A,Clients!$D:$D)&amp;" "&amp;XLOOKUP($A374,Clients!$A:$A,Clients!$E:$E))</f>
        <v/>
      </c>
      <c r="C374">
        <f>IF($A374="","",DATEDIF(XLOOKUP($A374,Clients!$A:$A,Clients!$F:$F),VAL_DATE,"Y"))</f>
        <v/>
      </c>
      <c r="D374">
        <f>IF(OR($A374="",E374=""),"",E374-C374)</f>
        <v/>
      </c>
      <c r="E374">
        <f>IF($A374="","",XLOOKUP($A374,RetirementPlan!$B:$B,RetirementPlan!$C:$C,""))</f>
        <v/>
      </c>
      <c r="F374" s="9">
        <f>IF(OR($A374="",D374=""),"",FV(IF(IFERROR(XLOOKUP($A374,RetirementPlan!$B:$B,RetirementPlan!$K:$K,""),"")="",GROWTH,IFERROR(XLOOKUP($A374,RetirementPlan!$B:$B,RetirementPlan!$K:$K,""),"")),D374,-N(XLOOKUP($A374,RetirementPlan!$B:$B,RetirementPlan!$I:$I,0)),-SUMIFS(Assets!$J:$J,Assets!$B:$B,$A374,Assets!$R:$R,"Yes"),0))</f>
        <v/>
      </c>
      <c r="G374" s="9">
        <f>IF(OR($A374="",I374=""),"",MAX(0,(I374-J374)/IF(IFERROR(XLOOKUP($A374,RetirementPlan!$B:$B,RetirementPlan!$M:$M,""),"")="",SWR,IFERROR(XLOOKUP($A374,RetirementPlan!$B:$B,RetirementPlan!$M:$M,""),""))))</f>
        <v/>
      </c>
      <c r="H374" s="9">
        <f>IF(OR($A374="",F374="",G374=""),"",F374-G374)</f>
        <v/>
      </c>
      <c r="I374" s="9">
        <f>IF($A374="","",XLOOKUP($A374,RetirementPlan!$B:$B,RetirementPlan!$E:$E,""))</f>
        <v/>
      </c>
      <c r="J374" s="9">
        <f>IF($A374="","",N(XLOOKUP($A374,RetirementPlan!$B:$B,RetirementPlan!$G:$G,0))+N(XLOOKUP($A374,RetirementPlan!$B:$B,RetirementPlan!$H:$H,0)))</f>
        <v/>
      </c>
      <c r="K374">
        <f>IF($A374="","",IF(NOT(ISBLANK(XLOOKUP($A374,RetirementPlan!$B:$B,RetirementPlan!$N:$N,""))),XLOOKUP($A374,RetirementPlan!$B:$B,RetirementPlan!$N:$N,""),LET(cid,$A374,c,FILTER(LocationPlan!$D:$D,LocationPlan!$C:$C=cid),p,FILTER(LocationPlan!$E:$E,LocationPlan!$C:$C=cid),IFERROR(INDEX(c,MATCH(MAX(p),p,0)),""))))</f>
        <v/>
      </c>
    </row>
    <row r="375">
      <c r="B375">
        <f>IF($A375="","",XLOOKUP($A375,Clients!$A:$A,Clients!$D:$D)&amp;" "&amp;XLOOKUP($A375,Clients!$A:$A,Clients!$E:$E))</f>
        <v/>
      </c>
      <c r="C375">
        <f>IF($A375="","",DATEDIF(XLOOKUP($A375,Clients!$A:$A,Clients!$F:$F),VAL_DATE,"Y"))</f>
        <v/>
      </c>
      <c r="D375">
        <f>IF(OR($A375="",E375=""),"",E375-C375)</f>
        <v/>
      </c>
      <c r="E375">
        <f>IF($A375="","",XLOOKUP($A375,RetirementPlan!$B:$B,RetirementPlan!$C:$C,""))</f>
        <v/>
      </c>
      <c r="F375" s="9">
        <f>IF(OR($A375="",D375=""),"",FV(IF(IFERROR(XLOOKUP($A375,RetirementPlan!$B:$B,RetirementPlan!$K:$K,""),"")="",GROWTH,IFERROR(XLOOKUP($A375,RetirementPlan!$B:$B,RetirementPlan!$K:$K,""),"")),D375,-N(XLOOKUP($A375,RetirementPlan!$B:$B,RetirementPlan!$I:$I,0)),-SUMIFS(Assets!$J:$J,Assets!$B:$B,$A375,Assets!$R:$R,"Yes"),0))</f>
        <v/>
      </c>
      <c r="G375" s="9">
        <f>IF(OR($A375="",I375=""),"",MAX(0,(I375-J375)/IF(IFERROR(XLOOKUP($A375,RetirementPlan!$B:$B,RetirementPlan!$M:$M,""),"")="",SWR,IFERROR(XLOOKUP($A375,RetirementPlan!$B:$B,RetirementPlan!$M:$M,""),""))))</f>
        <v/>
      </c>
      <c r="H375" s="9">
        <f>IF(OR($A375="",F375="",G375=""),"",F375-G375)</f>
        <v/>
      </c>
      <c r="I375" s="9">
        <f>IF($A375="","",XLOOKUP($A375,RetirementPlan!$B:$B,RetirementPlan!$E:$E,""))</f>
        <v/>
      </c>
      <c r="J375" s="9">
        <f>IF($A375="","",N(XLOOKUP($A375,RetirementPlan!$B:$B,RetirementPlan!$G:$G,0))+N(XLOOKUP($A375,RetirementPlan!$B:$B,RetirementPlan!$H:$H,0)))</f>
        <v/>
      </c>
      <c r="K375">
        <f>IF($A375="","",IF(NOT(ISBLANK(XLOOKUP($A375,RetirementPlan!$B:$B,RetirementPlan!$N:$N,""))),XLOOKUP($A375,RetirementPlan!$B:$B,RetirementPlan!$N:$N,""),LET(cid,$A375,c,FILTER(LocationPlan!$D:$D,LocationPlan!$C:$C=cid),p,FILTER(LocationPlan!$E:$E,LocationPlan!$C:$C=cid),IFERROR(INDEX(c,MATCH(MAX(p),p,0)),""))))</f>
        <v/>
      </c>
    </row>
    <row r="376">
      <c r="B376">
        <f>IF($A376="","",XLOOKUP($A376,Clients!$A:$A,Clients!$D:$D)&amp;" "&amp;XLOOKUP($A376,Clients!$A:$A,Clients!$E:$E))</f>
        <v/>
      </c>
      <c r="C376">
        <f>IF($A376="","",DATEDIF(XLOOKUP($A376,Clients!$A:$A,Clients!$F:$F),VAL_DATE,"Y"))</f>
        <v/>
      </c>
      <c r="D376">
        <f>IF(OR($A376="",E376=""),"",E376-C376)</f>
        <v/>
      </c>
      <c r="E376">
        <f>IF($A376="","",XLOOKUP($A376,RetirementPlan!$B:$B,RetirementPlan!$C:$C,""))</f>
        <v/>
      </c>
      <c r="F376" s="9">
        <f>IF(OR($A376="",D376=""),"",FV(IF(IFERROR(XLOOKUP($A376,RetirementPlan!$B:$B,RetirementPlan!$K:$K,""),"")="",GROWTH,IFERROR(XLOOKUP($A376,RetirementPlan!$B:$B,RetirementPlan!$K:$K,""),"")),D376,-N(XLOOKUP($A376,RetirementPlan!$B:$B,RetirementPlan!$I:$I,0)),-SUMIFS(Assets!$J:$J,Assets!$B:$B,$A376,Assets!$R:$R,"Yes"),0))</f>
        <v/>
      </c>
      <c r="G376" s="9">
        <f>IF(OR($A376="",I376=""),"",MAX(0,(I376-J376)/IF(IFERROR(XLOOKUP($A376,RetirementPlan!$B:$B,RetirementPlan!$M:$M,""),"")="",SWR,IFERROR(XLOOKUP($A376,RetirementPlan!$B:$B,RetirementPlan!$M:$M,""),""))))</f>
        <v/>
      </c>
      <c r="H376" s="9">
        <f>IF(OR($A376="",F376="",G376=""),"",F376-G376)</f>
        <v/>
      </c>
      <c r="I376" s="9">
        <f>IF($A376="","",XLOOKUP($A376,RetirementPlan!$B:$B,RetirementPlan!$E:$E,""))</f>
        <v/>
      </c>
      <c r="J376" s="9">
        <f>IF($A376="","",N(XLOOKUP($A376,RetirementPlan!$B:$B,RetirementPlan!$G:$G,0))+N(XLOOKUP($A376,RetirementPlan!$B:$B,RetirementPlan!$H:$H,0)))</f>
        <v/>
      </c>
      <c r="K376">
        <f>IF($A376="","",IF(NOT(ISBLANK(XLOOKUP($A376,RetirementPlan!$B:$B,RetirementPlan!$N:$N,""))),XLOOKUP($A376,RetirementPlan!$B:$B,RetirementPlan!$N:$N,""),LET(cid,$A376,c,FILTER(LocationPlan!$D:$D,LocationPlan!$C:$C=cid),p,FILTER(LocationPlan!$E:$E,LocationPlan!$C:$C=cid),IFERROR(INDEX(c,MATCH(MAX(p),p,0)),""))))</f>
        <v/>
      </c>
    </row>
    <row r="377">
      <c r="B377">
        <f>IF($A377="","",XLOOKUP($A377,Clients!$A:$A,Clients!$D:$D)&amp;" "&amp;XLOOKUP($A377,Clients!$A:$A,Clients!$E:$E))</f>
        <v/>
      </c>
      <c r="C377">
        <f>IF($A377="","",DATEDIF(XLOOKUP($A377,Clients!$A:$A,Clients!$F:$F),VAL_DATE,"Y"))</f>
        <v/>
      </c>
      <c r="D377">
        <f>IF(OR($A377="",E377=""),"",E377-C377)</f>
        <v/>
      </c>
      <c r="E377">
        <f>IF($A377="","",XLOOKUP($A377,RetirementPlan!$B:$B,RetirementPlan!$C:$C,""))</f>
        <v/>
      </c>
      <c r="F377" s="9">
        <f>IF(OR($A377="",D377=""),"",FV(IF(IFERROR(XLOOKUP($A377,RetirementPlan!$B:$B,RetirementPlan!$K:$K,""),"")="",GROWTH,IFERROR(XLOOKUP($A377,RetirementPlan!$B:$B,RetirementPlan!$K:$K,""),"")),D377,-N(XLOOKUP($A377,RetirementPlan!$B:$B,RetirementPlan!$I:$I,0)),-SUMIFS(Assets!$J:$J,Assets!$B:$B,$A377,Assets!$R:$R,"Yes"),0))</f>
        <v/>
      </c>
      <c r="G377" s="9">
        <f>IF(OR($A377="",I377=""),"",MAX(0,(I377-J377)/IF(IFERROR(XLOOKUP($A377,RetirementPlan!$B:$B,RetirementPlan!$M:$M,""),"")="",SWR,IFERROR(XLOOKUP($A377,RetirementPlan!$B:$B,RetirementPlan!$M:$M,""),""))))</f>
        <v/>
      </c>
      <c r="H377" s="9">
        <f>IF(OR($A377="",F377="",G377=""),"",F377-G377)</f>
        <v/>
      </c>
      <c r="I377" s="9">
        <f>IF($A377="","",XLOOKUP($A377,RetirementPlan!$B:$B,RetirementPlan!$E:$E,""))</f>
        <v/>
      </c>
      <c r="J377" s="9">
        <f>IF($A377="","",N(XLOOKUP($A377,RetirementPlan!$B:$B,RetirementPlan!$G:$G,0))+N(XLOOKUP($A377,RetirementPlan!$B:$B,RetirementPlan!$H:$H,0)))</f>
        <v/>
      </c>
      <c r="K377">
        <f>IF($A377="","",IF(NOT(ISBLANK(XLOOKUP($A377,RetirementPlan!$B:$B,RetirementPlan!$N:$N,""))),XLOOKUP($A377,RetirementPlan!$B:$B,RetirementPlan!$N:$N,""),LET(cid,$A377,c,FILTER(LocationPlan!$D:$D,LocationPlan!$C:$C=cid),p,FILTER(LocationPlan!$E:$E,LocationPlan!$C:$C=cid),IFERROR(INDEX(c,MATCH(MAX(p),p,0)),""))))</f>
        <v/>
      </c>
    </row>
    <row r="378">
      <c r="B378">
        <f>IF($A378="","",XLOOKUP($A378,Clients!$A:$A,Clients!$D:$D)&amp;" "&amp;XLOOKUP($A378,Clients!$A:$A,Clients!$E:$E))</f>
        <v/>
      </c>
      <c r="C378">
        <f>IF($A378="","",DATEDIF(XLOOKUP($A378,Clients!$A:$A,Clients!$F:$F),VAL_DATE,"Y"))</f>
        <v/>
      </c>
      <c r="D378">
        <f>IF(OR($A378="",E378=""),"",E378-C378)</f>
        <v/>
      </c>
      <c r="E378">
        <f>IF($A378="","",XLOOKUP($A378,RetirementPlan!$B:$B,RetirementPlan!$C:$C,""))</f>
        <v/>
      </c>
      <c r="F378" s="9">
        <f>IF(OR($A378="",D378=""),"",FV(IF(IFERROR(XLOOKUP($A378,RetirementPlan!$B:$B,RetirementPlan!$K:$K,""),"")="",GROWTH,IFERROR(XLOOKUP($A378,RetirementPlan!$B:$B,RetirementPlan!$K:$K,""),"")),D378,-N(XLOOKUP($A378,RetirementPlan!$B:$B,RetirementPlan!$I:$I,0)),-SUMIFS(Assets!$J:$J,Assets!$B:$B,$A378,Assets!$R:$R,"Yes"),0))</f>
        <v/>
      </c>
      <c r="G378" s="9">
        <f>IF(OR($A378="",I378=""),"",MAX(0,(I378-J378)/IF(IFERROR(XLOOKUP($A378,RetirementPlan!$B:$B,RetirementPlan!$M:$M,""),"")="",SWR,IFERROR(XLOOKUP($A378,RetirementPlan!$B:$B,RetirementPlan!$M:$M,""),""))))</f>
        <v/>
      </c>
      <c r="H378" s="9">
        <f>IF(OR($A378="",F378="",G378=""),"",F378-G378)</f>
        <v/>
      </c>
      <c r="I378" s="9">
        <f>IF($A378="","",XLOOKUP($A378,RetirementPlan!$B:$B,RetirementPlan!$E:$E,""))</f>
        <v/>
      </c>
      <c r="J378" s="9">
        <f>IF($A378="","",N(XLOOKUP($A378,RetirementPlan!$B:$B,RetirementPlan!$G:$G,0))+N(XLOOKUP($A378,RetirementPlan!$B:$B,RetirementPlan!$H:$H,0)))</f>
        <v/>
      </c>
      <c r="K378">
        <f>IF($A378="","",IF(NOT(ISBLANK(XLOOKUP($A378,RetirementPlan!$B:$B,RetirementPlan!$N:$N,""))),XLOOKUP($A378,RetirementPlan!$B:$B,RetirementPlan!$N:$N,""),LET(cid,$A378,c,FILTER(LocationPlan!$D:$D,LocationPlan!$C:$C=cid),p,FILTER(LocationPlan!$E:$E,LocationPlan!$C:$C=cid),IFERROR(INDEX(c,MATCH(MAX(p),p,0)),""))))</f>
        <v/>
      </c>
    </row>
    <row r="379">
      <c r="B379">
        <f>IF($A379="","",XLOOKUP($A379,Clients!$A:$A,Clients!$D:$D)&amp;" "&amp;XLOOKUP($A379,Clients!$A:$A,Clients!$E:$E))</f>
        <v/>
      </c>
      <c r="C379">
        <f>IF($A379="","",DATEDIF(XLOOKUP($A379,Clients!$A:$A,Clients!$F:$F),VAL_DATE,"Y"))</f>
        <v/>
      </c>
      <c r="D379">
        <f>IF(OR($A379="",E379=""),"",E379-C379)</f>
        <v/>
      </c>
      <c r="E379">
        <f>IF($A379="","",XLOOKUP($A379,RetirementPlan!$B:$B,RetirementPlan!$C:$C,""))</f>
        <v/>
      </c>
      <c r="F379" s="9">
        <f>IF(OR($A379="",D379=""),"",FV(IF(IFERROR(XLOOKUP($A379,RetirementPlan!$B:$B,RetirementPlan!$K:$K,""),"")="",GROWTH,IFERROR(XLOOKUP($A379,RetirementPlan!$B:$B,RetirementPlan!$K:$K,""),"")),D379,-N(XLOOKUP($A379,RetirementPlan!$B:$B,RetirementPlan!$I:$I,0)),-SUMIFS(Assets!$J:$J,Assets!$B:$B,$A379,Assets!$R:$R,"Yes"),0))</f>
        <v/>
      </c>
      <c r="G379" s="9">
        <f>IF(OR($A379="",I379=""),"",MAX(0,(I379-J379)/IF(IFERROR(XLOOKUP($A379,RetirementPlan!$B:$B,RetirementPlan!$M:$M,""),"")="",SWR,IFERROR(XLOOKUP($A379,RetirementPlan!$B:$B,RetirementPlan!$M:$M,""),""))))</f>
        <v/>
      </c>
      <c r="H379" s="9">
        <f>IF(OR($A379="",F379="",G379=""),"",F379-G379)</f>
        <v/>
      </c>
      <c r="I379" s="9">
        <f>IF($A379="","",XLOOKUP($A379,RetirementPlan!$B:$B,RetirementPlan!$E:$E,""))</f>
        <v/>
      </c>
      <c r="J379" s="9">
        <f>IF($A379="","",N(XLOOKUP($A379,RetirementPlan!$B:$B,RetirementPlan!$G:$G,0))+N(XLOOKUP($A379,RetirementPlan!$B:$B,RetirementPlan!$H:$H,0)))</f>
        <v/>
      </c>
      <c r="K379">
        <f>IF($A379="","",IF(NOT(ISBLANK(XLOOKUP($A379,RetirementPlan!$B:$B,RetirementPlan!$N:$N,""))),XLOOKUP($A379,RetirementPlan!$B:$B,RetirementPlan!$N:$N,""),LET(cid,$A379,c,FILTER(LocationPlan!$D:$D,LocationPlan!$C:$C=cid),p,FILTER(LocationPlan!$E:$E,LocationPlan!$C:$C=cid),IFERROR(INDEX(c,MATCH(MAX(p),p,0)),""))))</f>
        <v/>
      </c>
    </row>
    <row r="380">
      <c r="B380">
        <f>IF($A380="","",XLOOKUP($A380,Clients!$A:$A,Clients!$D:$D)&amp;" "&amp;XLOOKUP($A380,Clients!$A:$A,Clients!$E:$E))</f>
        <v/>
      </c>
      <c r="C380">
        <f>IF($A380="","",DATEDIF(XLOOKUP($A380,Clients!$A:$A,Clients!$F:$F),VAL_DATE,"Y"))</f>
        <v/>
      </c>
      <c r="D380">
        <f>IF(OR($A380="",E380=""),"",E380-C380)</f>
        <v/>
      </c>
      <c r="E380">
        <f>IF($A380="","",XLOOKUP($A380,RetirementPlan!$B:$B,RetirementPlan!$C:$C,""))</f>
        <v/>
      </c>
      <c r="F380" s="9">
        <f>IF(OR($A380="",D380=""),"",FV(IF(IFERROR(XLOOKUP($A380,RetirementPlan!$B:$B,RetirementPlan!$K:$K,""),"")="",GROWTH,IFERROR(XLOOKUP($A380,RetirementPlan!$B:$B,RetirementPlan!$K:$K,""),"")),D380,-N(XLOOKUP($A380,RetirementPlan!$B:$B,RetirementPlan!$I:$I,0)),-SUMIFS(Assets!$J:$J,Assets!$B:$B,$A380,Assets!$R:$R,"Yes"),0))</f>
        <v/>
      </c>
      <c r="G380" s="9">
        <f>IF(OR($A380="",I380=""),"",MAX(0,(I380-J380)/IF(IFERROR(XLOOKUP($A380,RetirementPlan!$B:$B,RetirementPlan!$M:$M,""),"")="",SWR,IFERROR(XLOOKUP($A380,RetirementPlan!$B:$B,RetirementPlan!$M:$M,""),""))))</f>
        <v/>
      </c>
      <c r="H380" s="9">
        <f>IF(OR($A380="",F380="",G380=""),"",F380-G380)</f>
        <v/>
      </c>
      <c r="I380" s="9">
        <f>IF($A380="","",XLOOKUP($A380,RetirementPlan!$B:$B,RetirementPlan!$E:$E,""))</f>
        <v/>
      </c>
      <c r="J380" s="9">
        <f>IF($A380="","",N(XLOOKUP($A380,RetirementPlan!$B:$B,RetirementPlan!$G:$G,0))+N(XLOOKUP($A380,RetirementPlan!$B:$B,RetirementPlan!$H:$H,0)))</f>
        <v/>
      </c>
      <c r="K380">
        <f>IF($A380="","",IF(NOT(ISBLANK(XLOOKUP($A380,RetirementPlan!$B:$B,RetirementPlan!$N:$N,""))),XLOOKUP($A380,RetirementPlan!$B:$B,RetirementPlan!$N:$N,""),LET(cid,$A380,c,FILTER(LocationPlan!$D:$D,LocationPlan!$C:$C=cid),p,FILTER(LocationPlan!$E:$E,LocationPlan!$C:$C=cid),IFERROR(INDEX(c,MATCH(MAX(p),p,0)),""))))</f>
        <v/>
      </c>
    </row>
    <row r="381">
      <c r="B381">
        <f>IF($A381="","",XLOOKUP($A381,Clients!$A:$A,Clients!$D:$D)&amp;" "&amp;XLOOKUP($A381,Clients!$A:$A,Clients!$E:$E))</f>
        <v/>
      </c>
      <c r="C381">
        <f>IF($A381="","",DATEDIF(XLOOKUP($A381,Clients!$A:$A,Clients!$F:$F),VAL_DATE,"Y"))</f>
        <v/>
      </c>
      <c r="D381">
        <f>IF(OR($A381="",E381=""),"",E381-C381)</f>
        <v/>
      </c>
      <c r="E381">
        <f>IF($A381="","",XLOOKUP($A381,RetirementPlan!$B:$B,RetirementPlan!$C:$C,""))</f>
        <v/>
      </c>
      <c r="F381" s="9">
        <f>IF(OR($A381="",D381=""),"",FV(IF(IFERROR(XLOOKUP($A381,RetirementPlan!$B:$B,RetirementPlan!$K:$K,""),"")="",GROWTH,IFERROR(XLOOKUP($A381,RetirementPlan!$B:$B,RetirementPlan!$K:$K,""),"")),D381,-N(XLOOKUP($A381,RetirementPlan!$B:$B,RetirementPlan!$I:$I,0)),-SUMIFS(Assets!$J:$J,Assets!$B:$B,$A381,Assets!$R:$R,"Yes"),0))</f>
        <v/>
      </c>
      <c r="G381" s="9">
        <f>IF(OR($A381="",I381=""),"",MAX(0,(I381-J381)/IF(IFERROR(XLOOKUP($A381,RetirementPlan!$B:$B,RetirementPlan!$M:$M,""),"")="",SWR,IFERROR(XLOOKUP($A381,RetirementPlan!$B:$B,RetirementPlan!$M:$M,""),""))))</f>
        <v/>
      </c>
      <c r="H381" s="9">
        <f>IF(OR($A381="",F381="",G381=""),"",F381-G381)</f>
        <v/>
      </c>
      <c r="I381" s="9">
        <f>IF($A381="","",XLOOKUP($A381,RetirementPlan!$B:$B,RetirementPlan!$E:$E,""))</f>
        <v/>
      </c>
      <c r="J381" s="9">
        <f>IF($A381="","",N(XLOOKUP($A381,RetirementPlan!$B:$B,RetirementPlan!$G:$G,0))+N(XLOOKUP($A381,RetirementPlan!$B:$B,RetirementPlan!$H:$H,0)))</f>
        <v/>
      </c>
      <c r="K381">
        <f>IF($A381="","",IF(NOT(ISBLANK(XLOOKUP($A381,RetirementPlan!$B:$B,RetirementPlan!$N:$N,""))),XLOOKUP($A381,RetirementPlan!$B:$B,RetirementPlan!$N:$N,""),LET(cid,$A381,c,FILTER(LocationPlan!$D:$D,LocationPlan!$C:$C=cid),p,FILTER(LocationPlan!$E:$E,LocationPlan!$C:$C=cid),IFERROR(INDEX(c,MATCH(MAX(p),p,0)),""))))</f>
        <v/>
      </c>
    </row>
    <row r="382">
      <c r="B382">
        <f>IF($A382="","",XLOOKUP($A382,Clients!$A:$A,Clients!$D:$D)&amp;" "&amp;XLOOKUP($A382,Clients!$A:$A,Clients!$E:$E))</f>
        <v/>
      </c>
      <c r="C382">
        <f>IF($A382="","",DATEDIF(XLOOKUP($A382,Clients!$A:$A,Clients!$F:$F),VAL_DATE,"Y"))</f>
        <v/>
      </c>
      <c r="D382">
        <f>IF(OR($A382="",E382=""),"",E382-C382)</f>
        <v/>
      </c>
      <c r="E382">
        <f>IF($A382="","",XLOOKUP($A382,RetirementPlan!$B:$B,RetirementPlan!$C:$C,""))</f>
        <v/>
      </c>
      <c r="F382" s="9">
        <f>IF(OR($A382="",D382=""),"",FV(IF(IFERROR(XLOOKUP($A382,RetirementPlan!$B:$B,RetirementPlan!$K:$K,""),"")="",GROWTH,IFERROR(XLOOKUP($A382,RetirementPlan!$B:$B,RetirementPlan!$K:$K,""),"")),D382,-N(XLOOKUP($A382,RetirementPlan!$B:$B,RetirementPlan!$I:$I,0)),-SUMIFS(Assets!$J:$J,Assets!$B:$B,$A382,Assets!$R:$R,"Yes"),0))</f>
        <v/>
      </c>
      <c r="G382" s="9">
        <f>IF(OR($A382="",I382=""),"",MAX(0,(I382-J382)/IF(IFERROR(XLOOKUP($A382,RetirementPlan!$B:$B,RetirementPlan!$M:$M,""),"")="",SWR,IFERROR(XLOOKUP($A382,RetirementPlan!$B:$B,RetirementPlan!$M:$M,""),""))))</f>
        <v/>
      </c>
      <c r="H382" s="9">
        <f>IF(OR($A382="",F382="",G382=""),"",F382-G382)</f>
        <v/>
      </c>
      <c r="I382" s="9">
        <f>IF($A382="","",XLOOKUP($A382,RetirementPlan!$B:$B,RetirementPlan!$E:$E,""))</f>
        <v/>
      </c>
      <c r="J382" s="9">
        <f>IF($A382="","",N(XLOOKUP($A382,RetirementPlan!$B:$B,RetirementPlan!$G:$G,0))+N(XLOOKUP($A382,RetirementPlan!$B:$B,RetirementPlan!$H:$H,0)))</f>
        <v/>
      </c>
      <c r="K382">
        <f>IF($A382="","",IF(NOT(ISBLANK(XLOOKUP($A382,RetirementPlan!$B:$B,RetirementPlan!$N:$N,""))),XLOOKUP($A382,RetirementPlan!$B:$B,RetirementPlan!$N:$N,""),LET(cid,$A382,c,FILTER(LocationPlan!$D:$D,LocationPlan!$C:$C=cid),p,FILTER(LocationPlan!$E:$E,LocationPlan!$C:$C=cid),IFERROR(INDEX(c,MATCH(MAX(p),p,0)),""))))</f>
        <v/>
      </c>
    </row>
    <row r="383">
      <c r="B383">
        <f>IF($A383="","",XLOOKUP($A383,Clients!$A:$A,Clients!$D:$D)&amp;" "&amp;XLOOKUP($A383,Clients!$A:$A,Clients!$E:$E))</f>
        <v/>
      </c>
      <c r="C383">
        <f>IF($A383="","",DATEDIF(XLOOKUP($A383,Clients!$A:$A,Clients!$F:$F),VAL_DATE,"Y"))</f>
        <v/>
      </c>
      <c r="D383">
        <f>IF(OR($A383="",E383=""),"",E383-C383)</f>
        <v/>
      </c>
      <c r="E383">
        <f>IF($A383="","",XLOOKUP($A383,RetirementPlan!$B:$B,RetirementPlan!$C:$C,""))</f>
        <v/>
      </c>
      <c r="F383" s="9">
        <f>IF(OR($A383="",D383=""),"",FV(IF(IFERROR(XLOOKUP($A383,RetirementPlan!$B:$B,RetirementPlan!$K:$K,""),"")="",GROWTH,IFERROR(XLOOKUP($A383,RetirementPlan!$B:$B,RetirementPlan!$K:$K,""),"")),D383,-N(XLOOKUP($A383,RetirementPlan!$B:$B,RetirementPlan!$I:$I,0)),-SUMIFS(Assets!$J:$J,Assets!$B:$B,$A383,Assets!$R:$R,"Yes"),0))</f>
        <v/>
      </c>
      <c r="G383" s="9">
        <f>IF(OR($A383="",I383=""),"",MAX(0,(I383-J383)/IF(IFERROR(XLOOKUP($A383,RetirementPlan!$B:$B,RetirementPlan!$M:$M,""),"")="",SWR,IFERROR(XLOOKUP($A383,RetirementPlan!$B:$B,RetirementPlan!$M:$M,""),""))))</f>
        <v/>
      </c>
      <c r="H383" s="9">
        <f>IF(OR($A383="",F383="",G383=""),"",F383-G383)</f>
        <v/>
      </c>
      <c r="I383" s="9">
        <f>IF($A383="","",XLOOKUP($A383,RetirementPlan!$B:$B,RetirementPlan!$E:$E,""))</f>
        <v/>
      </c>
      <c r="J383" s="9">
        <f>IF($A383="","",N(XLOOKUP($A383,RetirementPlan!$B:$B,RetirementPlan!$G:$G,0))+N(XLOOKUP($A383,RetirementPlan!$B:$B,RetirementPlan!$H:$H,0)))</f>
        <v/>
      </c>
      <c r="K383">
        <f>IF($A383="","",IF(NOT(ISBLANK(XLOOKUP($A383,RetirementPlan!$B:$B,RetirementPlan!$N:$N,""))),XLOOKUP($A383,RetirementPlan!$B:$B,RetirementPlan!$N:$N,""),LET(cid,$A383,c,FILTER(LocationPlan!$D:$D,LocationPlan!$C:$C=cid),p,FILTER(LocationPlan!$E:$E,LocationPlan!$C:$C=cid),IFERROR(INDEX(c,MATCH(MAX(p),p,0)),""))))</f>
        <v/>
      </c>
    </row>
    <row r="384">
      <c r="B384">
        <f>IF($A384="","",XLOOKUP($A384,Clients!$A:$A,Clients!$D:$D)&amp;" "&amp;XLOOKUP($A384,Clients!$A:$A,Clients!$E:$E))</f>
        <v/>
      </c>
      <c r="C384">
        <f>IF($A384="","",DATEDIF(XLOOKUP($A384,Clients!$A:$A,Clients!$F:$F),VAL_DATE,"Y"))</f>
        <v/>
      </c>
      <c r="D384">
        <f>IF(OR($A384="",E384=""),"",E384-C384)</f>
        <v/>
      </c>
      <c r="E384">
        <f>IF($A384="","",XLOOKUP($A384,RetirementPlan!$B:$B,RetirementPlan!$C:$C,""))</f>
        <v/>
      </c>
      <c r="F384" s="9">
        <f>IF(OR($A384="",D384=""),"",FV(IF(IFERROR(XLOOKUP($A384,RetirementPlan!$B:$B,RetirementPlan!$K:$K,""),"")="",GROWTH,IFERROR(XLOOKUP($A384,RetirementPlan!$B:$B,RetirementPlan!$K:$K,""),"")),D384,-N(XLOOKUP($A384,RetirementPlan!$B:$B,RetirementPlan!$I:$I,0)),-SUMIFS(Assets!$J:$J,Assets!$B:$B,$A384,Assets!$R:$R,"Yes"),0))</f>
        <v/>
      </c>
      <c r="G384" s="9">
        <f>IF(OR($A384="",I384=""),"",MAX(0,(I384-J384)/IF(IFERROR(XLOOKUP($A384,RetirementPlan!$B:$B,RetirementPlan!$M:$M,""),"")="",SWR,IFERROR(XLOOKUP($A384,RetirementPlan!$B:$B,RetirementPlan!$M:$M,""),""))))</f>
        <v/>
      </c>
      <c r="H384" s="9">
        <f>IF(OR($A384="",F384="",G384=""),"",F384-G384)</f>
        <v/>
      </c>
      <c r="I384" s="9">
        <f>IF($A384="","",XLOOKUP($A384,RetirementPlan!$B:$B,RetirementPlan!$E:$E,""))</f>
        <v/>
      </c>
      <c r="J384" s="9">
        <f>IF($A384="","",N(XLOOKUP($A384,RetirementPlan!$B:$B,RetirementPlan!$G:$G,0))+N(XLOOKUP($A384,RetirementPlan!$B:$B,RetirementPlan!$H:$H,0)))</f>
        <v/>
      </c>
      <c r="K384">
        <f>IF($A384="","",IF(NOT(ISBLANK(XLOOKUP($A384,RetirementPlan!$B:$B,RetirementPlan!$N:$N,""))),XLOOKUP($A384,RetirementPlan!$B:$B,RetirementPlan!$N:$N,""),LET(cid,$A384,c,FILTER(LocationPlan!$D:$D,LocationPlan!$C:$C=cid),p,FILTER(LocationPlan!$E:$E,LocationPlan!$C:$C=cid),IFERROR(INDEX(c,MATCH(MAX(p),p,0)),""))))</f>
        <v/>
      </c>
    </row>
    <row r="385">
      <c r="B385">
        <f>IF($A385="","",XLOOKUP($A385,Clients!$A:$A,Clients!$D:$D)&amp;" "&amp;XLOOKUP($A385,Clients!$A:$A,Clients!$E:$E))</f>
        <v/>
      </c>
      <c r="C385">
        <f>IF($A385="","",DATEDIF(XLOOKUP($A385,Clients!$A:$A,Clients!$F:$F),VAL_DATE,"Y"))</f>
        <v/>
      </c>
      <c r="D385">
        <f>IF(OR($A385="",E385=""),"",E385-C385)</f>
        <v/>
      </c>
      <c r="E385">
        <f>IF($A385="","",XLOOKUP($A385,RetirementPlan!$B:$B,RetirementPlan!$C:$C,""))</f>
        <v/>
      </c>
      <c r="F385" s="9">
        <f>IF(OR($A385="",D385=""),"",FV(IF(IFERROR(XLOOKUP($A385,RetirementPlan!$B:$B,RetirementPlan!$K:$K,""),"")="",GROWTH,IFERROR(XLOOKUP($A385,RetirementPlan!$B:$B,RetirementPlan!$K:$K,""),"")),D385,-N(XLOOKUP($A385,RetirementPlan!$B:$B,RetirementPlan!$I:$I,0)),-SUMIFS(Assets!$J:$J,Assets!$B:$B,$A385,Assets!$R:$R,"Yes"),0))</f>
        <v/>
      </c>
      <c r="G385" s="9">
        <f>IF(OR($A385="",I385=""),"",MAX(0,(I385-J385)/IF(IFERROR(XLOOKUP($A385,RetirementPlan!$B:$B,RetirementPlan!$M:$M,""),"")="",SWR,IFERROR(XLOOKUP($A385,RetirementPlan!$B:$B,RetirementPlan!$M:$M,""),""))))</f>
        <v/>
      </c>
      <c r="H385" s="9">
        <f>IF(OR($A385="",F385="",G385=""),"",F385-G385)</f>
        <v/>
      </c>
      <c r="I385" s="9">
        <f>IF($A385="","",XLOOKUP($A385,RetirementPlan!$B:$B,RetirementPlan!$E:$E,""))</f>
        <v/>
      </c>
      <c r="J385" s="9">
        <f>IF($A385="","",N(XLOOKUP($A385,RetirementPlan!$B:$B,RetirementPlan!$G:$G,0))+N(XLOOKUP($A385,RetirementPlan!$B:$B,RetirementPlan!$H:$H,0)))</f>
        <v/>
      </c>
      <c r="K385">
        <f>IF($A385="","",IF(NOT(ISBLANK(XLOOKUP($A385,RetirementPlan!$B:$B,RetirementPlan!$N:$N,""))),XLOOKUP($A385,RetirementPlan!$B:$B,RetirementPlan!$N:$N,""),LET(cid,$A385,c,FILTER(LocationPlan!$D:$D,LocationPlan!$C:$C=cid),p,FILTER(LocationPlan!$E:$E,LocationPlan!$C:$C=cid),IFERROR(INDEX(c,MATCH(MAX(p),p,0)),""))))</f>
        <v/>
      </c>
    </row>
    <row r="386">
      <c r="B386">
        <f>IF($A386="","",XLOOKUP($A386,Clients!$A:$A,Clients!$D:$D)&amp;" "&amp;XLOOKUP($A386,Clients!$A:$A,Clients!$E:$E))</f>
        <v/>
      </c>
      <c r="C386">
        <f>IF($A386="","",DATEDIF(XLOOKUP($A386,Clients!$A:$A,Clients!$F:$F),VAL_DATE,"Y"))</f>
        <v/>
      </c>
      <c r="D386">
        <f>IF(OR($A386="",E386=""),"",E386-C386)</f>
        <v/>
      </c>
      <c r="E386">
        <f>IF($A386="","",XLOOKUP($A386,RetirementPlan!$B:$B,RetirementPlan!$C:$C,""))</f>
        <v/>
      </c>
      <c r="F386" s="9">
        <f>IF(OR($A386="",D386=""),"",FV(IF(IFERROR(XLOOKUP($A386,RetirementPlan!$B:$B,RetirementPlan!$K:$K,""),"")="",GROWTH,IFERROR(XLOOKUP($A386,RetirementPlan!$B:$B,RetirementPlan!$K:$K,""),"")),D386,-N(XLOOKUP($A386,RetirementPlan!$B:$B,RetirementPlan!$I:$I,0)),-SUMIFS(Assets!$J:$J,Assets!$B:$B,$A386,Assets!$R:$R,"Yes"),0))</f>
        <v/>
      </c>
      <c r="G386" s="9">
        <f>IF(OR($A386="",I386=""),"",MAX(0,(I386-J386)/IF(IFERROR(XLOOKUP($A386,RetirementPlan!$B:$B,RetirementPlan!$M:$M,""),"")="",SWR,IFERROR(XLOOKUP($A386,RetirementPlan!$B:$B,RetirementPlan!$M:$M,""),""))))</f>
        <v/>
      </c>
      <c r="H386" s="9">
        <f>IF(OR($A386="",F386="",G386=""),"",F386-G386)</f>
        <v/>
      </c>
      <c r="I386" s="9">
        <f>IF($A386="","",XLOOKUP($A386,RetirementPlan!$B:$B,RetirementPlan!$E:$E,""))</f>
        <v/>
      </c>
      <c r="J386" s="9">
        <f>IF($A386="","",N(XLOOKUP($A386,RetirementPlan!$B:$B,RetirementPlan!$G:$G,0))+N(XLOOKUP($A386,RetirementPlan!$B:$B,RetirementPlan!$H:$H,0)))</f>
        <v/>
      </c>
      <c r="K386">
        <f>IF($A386="","",IF(NOT(ISBLANK(XLOOKUP($A386,RetirementPlan!$B:$B,RetirementPlan!$N:$N,""))),XLOOKUP($A386,RetirementPlan!$B:$B,RetirementPlan!$N:$N,""),LET(cid,$A386,c,FILTER(LocationPlan!$D:$D,LocationPlan!$C:$C=cid),p,FILTER(LocationPlan!$E:$E,LocationPlan!$C:$C=cid),IFERROR(INDEX(c,MATCH(MAX(p),p,0)),""))))</f>
        <v/>
      </c>
    </row>
    <row r="387">
      <c r="B387">
        <f>IF($A387="","",XLOOKUP($A387,Clients!$A:$A,Clients!$D:$D)&amp;" "&amp;XLOOKUP($A387,Clients!$A:$A,Clients!$E:$E))</f>
        <v/>
      </c>
      <c r="C387">
        <f>IF($A387="","",DATEDIF(XLOOKUP($A387,Clients!$A:$A,Clients!$F:$F),VAL_DATE,"Y"))</f>
        <v/>
      </c>
      <c r="D387">
        <f>IF(OR($A387="",E387=""),"",E387-C387)</f>
        <v/>
      </c>
      <c r="E387">
        <f>IF($A387="","",XLOOKUP($A387,RetirementPlan!$B:$B,RetirementPlan!$C:$C,""))</f>
        <v/>
      </c>
      <c r="F387" s="9">
        <f>IF(OR($A387="",D387=""),"",FV(IF(IFERROR(XLOOKUP($A387,RetirementPlan!$B:$B,RetirementPlan!$K:$K,""),"")="",GROWTH,IFERROR(XLOOKUP($A387,RetirementPlan!$B:$B,RetirementPlan!$K:$K,""),"")),D387,-N(XLOOKUP($A387,RetirementPlan!$B:$B,RetirementPlan!$I:$I,0)),-SUMIFS(Assets!$J:$J,Assets!$B:$B,$A387,Assets!$R:$R,"Yes"),0))</f>
        <v/>
      </c>
      <c r="G387" s="9">
        <f>IF(OR($A387="",I387=""),"",MAX(0,(I387-J387)/IF(IFERROR(XLOOKUP($A387,RetirementPlan!$B:$B,RetirementPlan!$M:$M,""),"")="",SWR,IFERROR(XLOOKUP($A387,RetirementPlan!$B:$B,RetirementPlan!$M:$M,""),""))))</f>
        <v/>
      </c>
      <c r="H387" s="9">
        <f>IF(OR($A387="",F387="",G387=""),"",F387-G387)</f>
        <v/>
      </c>
      <c r="I387" s="9">
        <f>IF($A387="","",XLOOKUP($A387,RetirementPlan!$B:$B,RetirementPlan!$E:$E,""))</f>
        <v/>
      </c>
      <c r="J387" s="9">
        <f>IF($A387="","",N(XLOOKUP($A387,RetirementPlan!$B:$B,RetirementPlan!$G:$G,0))+N(XLOOKUP($A387,RetirementPlan!$B:$B,RetirementPlan!$H:$H,0)))</f>
        <v/>
      </c>
      <c r="K387">
        <f>IF($A387="","",IF(NOT(ISBLANK(XLOOKUP($A387,RetirementPlan!$B:$B,RetirementPlan!$N:$N,""))),XLOOKUP($A387,RetirementPlan!$B:$B,RetirementPlan!$N:$N,""),LET(cid,$A387,c,FILTER(LocationPlan!$D:$D,LocationPlan!$C:$C=cid),p,FILTER(LocationPlan!$E:$E,LocationPlan!$C:$C=cid),IFERROR(INDEX(c,MATCH(MAX(p),p,0)),""))))</f>
        <v/>
      </c>
    </row>
    <row r="388">
      <c r="B388">
        <f>IF($A388="","",XLOOKUP($A388,Clients!$A:$A,Clients!$D:$D)&amp;" "&amp;XLOOKUP($A388,Clients!$A:$A,Clients!$E:$E))</f>
        <v/>
      </c>
      <c r="C388">
        <f>IF($A388="","",DATEDIF(XLOOKUP($A388,Clients!$A:$A,Clients!$F:$F),VAL_DATE,"Y"))</f>
        <v/>
      </c>
      <c r="D388">
        <f>IF(OR($A388="",E388=""),"",E388-C388)</f>
        <v/>
      </c>
      <c r="E388">
        <f>IF($A388="","",XLOOKUP($A388,RetirementPlan!$B:$B,RetirementPlan!$C:$C,""))</f>
        <v/>
      </c>
      <c r="F388" s="9">
        <f>IF(OR($A388="",D388=""),"",FV(IF(IFERROR(XLOOKUP($A388,RetirementPlan!$B:$B,RetirementPlan!$K:$K,""),"")="",GROWTH,IFERROR(XLOOKUP($A388,RetirementPlan!$B:$B,RetirementPlan!$K:$K,""),"")),D388,-N(XLOOKUP($A388,RetirementPlan!$B:$B,RetirementPlan!$I:$I,0)),-SUMIFS(Assets!$J:$J,Assets!$B:$B,$A388,Assets!$R:$R,"Yes"),0))</f>
        <v/>
      </c>
      <c r="G388" s="9">
        <f>IF(OR($A388="",I388=""),"",MAX(0,(I388-J388)/IF(IFERROR(XLOOKUP($A388,RetirementPlan!$B:$B,RetirementPlan!$M:$M,""),"")="",SWR,IFERROR(XLOOKUP($A388,RetirementPlan!$B:$B,RetirementPlan!$M:$M,""),""))))</f>
        <v/>
      </c>
      <c r="H388" s="9">
        <f>IF(OR($A388="",F388="",G388=""),"",F388-G388)</f>
        <v/>
      </c>
      <c r="I388" s="9">
        <f>IF($A388="","",XLOOKUP($A388,RetirementPlan!$B:$B,RetirementPlan!$E:$E,""))</f>
        <v/>
      </c>
      <c r="J388" s="9">
        <f>IF($A388="","",N(XLOOKUP($A388,RetirementPlan!$B:$B,RetirementPlan!$G:$G,0))+N(XLOOKUP($A388,RetirementPlan!$B:$B,RetirementPlan!$H:$H,0)))</f>
        <v/>
      </c>
      <c r="K388">
        <f>IF($A388="","",IF(NOT(ISBLANK(XLOOKUP($A388,RetirementPlan!$B:$B,RetirementPlan!$N:$N,""))),XLOOKUP($A388,RetirementPlan!$B:$B,RetirementPlan!$N:$N,""),LET(cid,$A388,c,FILTER(LocationPlan!$D:$D,LocationPlan!$C:$C=cid),p,FILTER(LocationPlan!$E:$E,LocationPlan!$C:$C=cid),IFERROR(INDEX(c,MATCH(MAX(p),p,0)),""))))</f>
        <v/>
      </c>
    </row>
    <row r="389">
      <c r="B389">
        <f>IF($A389="","",XLOOKUP($A389,Clients!$A:$A,Clients!$D:$D)&amp;" "&amp;XLOOKUP($A389,Clients!$A:$A,Clients!$E:$E))</f>
        <v/>
      </c>
      <c r="C389">
        <f>IF($A389="","",DATEDIF(XLOOKUP($A389,Clients!$A:$A,Clients!$F:$F),VAL_DATE,"Y"))</f>
        <v/>
      </c>
      <c r="D389">
        <f>IF(OR($A389="",E389=""),"",E389-C389)</f>
        <v/>
      </c>
      <c r="E389">
        <f>IF($A389="","",XLOOKUP($A389,RetirementPlan!$B:$B,RetirementPlan!$C:$C,""))</f>
        <v/>
      </c>
      <c r="F389" s="9">
        <f>IF(OR($A389="",D389=""),"",FV(IF(IFERROR(XLOOKUP($A389,RetirementPlan!$B:$B,RetirementPlan!$K:$K,""),"")="",GROWTH,IFERROR(XLOOKUP($A389,RetirementPlan!$B:$B,RetirementPlan!$K:$K,""),"")),D389,-N(XLOOKUP($A389,RetirementPlan!$B:$B,RetirementPlan!$I:$I,0)),-SUMIFS(Assets!$J:$J,Assets!$B:$B,$A389,Assets!$R:$R,"Yes"),0))</f>
        <v/>
      </c>
      <c r="G389" s="9">
        <f>IF(OR($A389="",I389=""),"",MAX(0,(I389-J389)/IF(IFERROR(XLOOKUP($A389,RetirementPlan!$B:$B,RetirementPlan!$M:$M,""),"")="",SWR,IFERROR(XLOOKUP($A389,RetirementPlan!$B:$B,RetirementPlan!$M:$M,""),""))))</f>
        <v/>
      </c>
      <c r="H389" s="9">
        <f>IF(OR($A389="",F389="",G389=""),"",F389-G389)</f>
        <v/>
      </c>
      <c r="I389" s="9">
        <f>IF($A389="","",XLOOKUP($A389,RetirementPlan!$B:$B,RetirementPlan!$E:$E,""))</f>
        <v/>
      </c>
      <c r="J389" s="9">
        <f>IF($A389="","",N(XLOOKUP($A389,RetirementPlan!$B:$B,RetirementPlan!$G:$G,0))+N(XLOOKUP($A389,RetirementPlan!$B:$B,RetirementPlan!$H:$H,0)))</f>
        <v/>
      </c>
      <c r="K389">
        <f>IF($A389="","",IF(NOT(ISBLANK(XLOOKUP($A389,RetirementPlan!$B:$B,RetirementPlan!$N:$N,""))),XLOOKUP($A389,RetirementPlan!$B:$B,RetirementPlan!$N:$N,""),LET(cid,$A389,c,FILTER(LocationPlan!$D:$D,LocationPlan!$C:$C=cid),p,FILTER(LocationPlan!$E:$E,LocationPlan!$C:$C=cid),IFERROR(INDEX(c,MATCH(MAX(p),p,0)),""))))</f>
        <v/>
      </c>
    </row>
    <row r="390">
      <c r="B390">
        <f>IF($A390="","",XLOOKUP($A390,Clients!$A:$A,Clients!$D:$D)&amp;" "&amp;XLOOKUP($A390,Clients!$A:$A,Clients!$E:$E))</f>
        <v/>
      </c>
      <c r="C390">
        <f>IF($A390="","",DATEDIF(XLOOKUP($A390,Clients!$A:$A,Clients!$F:$F),VAL_DATE,"Y"))</f>
        <v/>
      </c>
      <c r="D390">
        <f>IF(OR($A390="",E390=""),"",E390-C390)</f>
        <v/>
      </c>
      <c r="E390">
        <f>IF($A390="","",XLOOKUP($A390,RetirementPlan!$B:$B,RetirementPlan!$C:$C,""))</f>
        <v/>
      </c>
      <c r="F390" s="9">
        <f>IF(OR($A390="",D390=""),"",FV(IF(IFERROR(XLOOKUP($A390,RetirementPlan!$B:$B,RetirementPlan!$K:$K,""),"")="",GROWTH,IFERROR(XLOOKUP($A390,RetirementPlan!$B:$B,RetirementPlan!$K:$K,""),"")),D390,-N(XLOOKUP($A390,RetirementPlan!$B:$B,RetirementPlan!$I:$I,0)),-SUMIFS(Assets!$J:$J,Assets!$B:$B,$A390,Assets!$R:$R,"Yes"),0))</f>
        <v/>
      </c>
      <c r="G390" s="9">
        <f>IF(OR($A390="",I390=""),"",MAX(0,(I390-J390)/IF(IFERROR(XLOOKUP($A390,RetirementPlan!$B:$B,RetirementPlan!$M:$M,""),"")="",SWR,IFERROR(XLOOKUP($A390,RetirementPlan!$B:$B,RetirementPlan!$M:$M,""),""))))</f>
        <v/>
      </c>
      <c r="H390" s="9">
        <f>IF(OR($A390="",F390="",G390=""),"",F390-G390)</f>
        <v/>
      </c>
      <c r="I390" s="9">
        <f>IF($A390="","",XLOOKUP($A390,RetirementPlan!$B:$B,RetirementPlan!$E:$E,""))</f>
        <v/>
      </c>
      <c r="J390" s="9">
        <f>IF($A390="","",N(XLOOKUP($A390,RetirementPlan!$B:$B,RetirementPlan!$G:$G,0))+N(XLOOKUP($A390,RetirementPlan!$B:$B,RetirementPlan!$H:$H,0)))</f>
        <v/>
      </c>
      <c r="K390">
        <f>IF($A390="","",IF(NOT(ISBLANK(XLOOKUP($A390,RetirementPlan!$B:$B,RetirementPlan!$N:$N,""))),XLOOKUP($A390,RetirementPlan!$B:$B,RetirementPlan!$N:$N,""),LET(cid,$A390,c,FILTER(LocationPlan!$D:$D,LocationPlan!$C:$C=cid),p,FILTER(LocationPlan!$E:$E,LocationPlan!$C:$C=cid),IFERROR(INDEX(c,MATCH(MAX(p),p,0)),""))))</f>
        <v/>
      </c>
    </row>
    <row r="391">
      <c r="B391">
        <f>IF($A391="","",XLOOKUP($A391,Clients!$A:$A,Clients!$D:$D)&amp;" "&amp;XLOOKUP($A391,Clients!$A:$A,Clients!$E:$E))</f>
        <v/>
      </c>
      <c r="C391">
        <f>IF($A391="","",DATEDIF(XLOOKUP($A391,Clients!$A:$A,Clients!$F:$F),VAL_DATE,"Y"))</f>
        <v/>
      </c>
      <c r="D391">
        <f>IF(OR($A391="",E391=""),"",E391-C391)</f>
        <v/>
      </c>
      <c r="E391">
        <f>IF($A391="","",XLOOKUP($A391,RetirementPlan!$B:$B,RetirementPlan!$C:$C,""))</f>
        <v/>
      </c>
      <c r="F391" s="9">
        <f>IF(OR($A391="",D391=""),"",FV(IF(IFERROR(XLOOKUP($A391,RetirementPlan!$B:$B,RetirementPlan!$K:$K,""),"")="",GROWTH,IFERROR(XLOOKUP($A391,RetirementPlan!$B:$B,RetirementPlan!$K:$K,""),"")),D391,-N(XLOOKUP($A391,RetirementPlan!$B:$B,RetirementPlan!$I:$I,0)),-SUMIFS(Assets!$J:$J,Assets!$B:$B,$A391,Assets!$R:$R,"Yes"),0))</f>
        <v/>
      </c>
      <c r="G391" s="9">
        <f>IF(OR($A391="",I391=""),"",MAX(0,(I391-J391)/IF(IFERROR(XLOOKUP($A391,RetirementPlan!$B:$B,RetirementPlan!$M:$M,""),"")="",SWR,IFERROR(XLOOKUP($A391,RetirementPlan!$B:$B,RetirementPlan!$M:$M,""),""))))</f>
        <v/>
      </c>
      <c r="H391" s="9">
        <f>IF(OR($A391="",F391="",G391=""),"",F391-G391)</f>
        <v/>
      </c>
      <c r="I391" s="9">
        <f>IF($A391="","",XLOOKUP($A391,RetirementPlan!$B:$B,RetirementPlan!$E:$E,""))</f>
        <v/>
      </c>
      <c r="J391" s="9">
        <f>IF($A391="","",N(XLOOKUP($A391,RetirementPlan!$B:$B,RetirementPlan!$G:$G,0))+N(XLOOKUP($A391,RetirementPlan!$B:$B,RetirementPlan!$H:$H,0)))</f>
        <v/>
      </c>
      <c r="K391">
        <f>IF($A391="","",IF(NOT(ISBLANK(XLOOKUP($A391,RetirementPlan!$B:$B,RetirementPlan!$N:$N,""))),XLOOKUP($A391,RetirementPlan!$B:$B,RetirementPlan!$N:$N,""),LET(cid,$A391,c,FILTER(LocationPlan!$D:$D,LocationPlan!$C:$C=cid),p,FILTER(LocationPlan!$E:$E,LocationPlan!$C:$C=cid),IFERROR(INDEX(c,MATCH(MAX(p),p,0)),""))))</f>
        <v/>
      </c>
    </row>
    <row r="392">
      <c r="B392">
        <f>IF($A392="","",XLOOKUP($A392,Clients!$A:$A,Clients!$D:$D)&amp;" "&amp;XLOOKUP($A392,Clients!$A:$A,Clients!$E:$E))</f>
        <v/>
      </c>
      <c r="C392">
        <f>IF($A392="","",DATEDIF(XLOOKUP($A392,Clients!$A:$A,Clients!$F:$F),VAL_DATE,"Y"))</f>
        <v/>
      </c>
      <c r="D392">
        <f>IF(OR($A392="",E392=""),"",E392-C392)</f>
        <v/>
      </c>
      <c r="E392">
        <f>IF($A392="","",XLOOKUP($A392,RetirementPlan!$B:$B,RetirementPlan!$C:$C,""))</f>
        <v/>
      </c>
      <c r="F392" s="9">
        <f>IF(OR($A392="",D392=""),"",FV(IF(IFERROR(XLOOKUP($A392,RetirementPlan!$B:$B,RetirementPlan!$K:$K,""),"")="",GROWTH,IFERROR(XLOOKUP($A392,RetirementPlan!$B:$B,RetirementPlan!$K:$K,""),"")),D392,-N(XLOOKUP($A392,RetirementPlan!$B:$B,RetirementPlan!$I:$I,0)),-SUMIFS(Assets!$J:$J,Assets!$B:$B,$A392,Assets!$R:$R,"Yes"),0))</f>
        <v/>
      </c>
      <c r="G392" s="9">
        <f>IF(OR($A392="",I392=""),"",MAX(0,(I392-J392)/IF(IFERROR(XLOOKUP($A392,RetirementPlan!$B:$B,RetirementPlan!$M:$M,""),"")="",SWR,IFERROR(XLOOKUP($A392,RetirementPlan!$B:$B,RetirementPlan!$M:$M,""),""))))</f>
        <v/>
      </c>
      <c r="H392" s="9">
        <f>IF(OR($A392="",F392="",G392=""),"",F392-G392)</f>
        <v/>
      </c>
      <c r="I392" s="9">
        <f>IF($A392="","",XLOOKUP($A392,RetirementPlan!$B:$B,RetirementPlan!$E:$E,""))</f>
        <v/>
      </c>
      <c r="J392" s="9">
        <f>IF($A392="","",N(XLOOKUP($A392,RetirementPlan!$B:$B,RetirementPlan!$G:$G,0))+N(XLOOKUP($A392,RetirementPlan!$B:$B,RetirementPlan!$H:$H,0)))</f>
        <v/>
      </c>
      <c r="K392">
        <f>IF($A392="","",IF(NOT(ISBLANK(XLOOKUP($A392,RetirementPlan!$B:$B,RetirementPlan!$N:$N,""))),XLOOKUP($A392,RetirementPlan!$B:$B,RetirementPlan!$N:$N,""),LET(cid,$A392,c,FILTER(LocationPlan!$D:$D,LocationPlan!$C:$C=cid),p,FILTER(LocationPlan!$E:$E,LocationPlan!$C:$C=cid),IFERROR(INDEX(c,MATCH(MAX(p),p,0)),""))))</f>
        <v/>
      </c>
    </row>
    <row r="393">
      <c r="B393">
        <f>IF($A393="","",XLOOKUP($A393,Clients!$A:$A,Clients!$D:$D)&amp;" "&amp;XLOOKUP($A393,Clients!$A:$A,Clients!$E:$E))</f>
        <v/>
      </c>
      <c r="C393">
        <f>IF($A393="","",DATEDIF(XLOOKUP($A393,Clients!$A:$A,Clients!$F:$F),VAL_DATE,"Y"))</f>
        <v/>
      </c>
      <c r="D393">
        <f>IF(OR($A393="",E393=""),"",E393-C393)</f>
        <v/>
      </c>
      <c r="E393">
        <f>IF($A393="","",XLOOKUP($A393,RetirementPlan!$B:$B,RetirementPlan!$C:$C,""))</f>
        <v/>
      </c>
      <c r="F393" s="9">
        <f>IF(OR($A393="",D393=""),"",FV(IF(IFERROR(XLOOKUP($A393,RetirementPlan!$B:$B,RetirementPlan!$K:$K,""),"")="",GROWTH,IFERROR(XLOOKUP($A393,RetirementPlan!$B:$B,RetirementPlan!$K:$K,""),"")),D393,-N(XLOOKUP($A393,RetirementPlan!$B:$B,RetirementPlan!$I:$I,0)),-SUMIFS(Assets!$J:$J,Assets!$B:$B,$A393,Assets!$R:$R,"Yes"),0))</f>
        <v/>
      </c>
      <c r="G393" s="9">
        <f>IF(OR($A393="",I393=""),"",MAX(0,(I393-J393)/IF(IFERROR(XLOOKUP($A393,RetirementPlan!$B:$B,RetirementPlan!$M:$M,""),"")="",SWR,IFERROR(XLOOKUP($A393,RetirementPlan!$B:$B,RetirementPlan!$M:$M,""),""))))</f>
        <v/>
      </c>
      <c r="H393" s="9">
        <f>IF(OR($A393="",F393="",G393=""),"",F393-G393)</f>
        <v/>
      </c>
      <c r="I393" s="9">
        <f>IF($A393="","",XLOOKUP($A393,RetirementPlan!$B:$B,RetirementPlan!$E:$E,""))</f>
        <v/>
      </c>
      <c r="J393" s="9">
        <f>IF($A393="","",N(XLOOKUP($A393,RetirementPlan!$B:$B,RetirementPlan!$G:$G,0))+N(XLOOKUP($A393,RetirementPlan!$B:$B,RetirementPlan!$H:$H,0)))</f>
        <v/>
      </c>
      <c r="K393">
        <f>IF($A393="","",IF(NOT(ISBLANK(XLOOKUP($A393,RetirementPlan!$B:$B,RetirementPlan!$N:$N,""))),XLOOKUP($A393,RetirementPlan!$B:$B,RetirementPlan!$N:$N,""),LET(cid,$A393,c,FILTER(LocationPlan!$D:$D,LocationPlan!$C:$C=cid),p,FILTER(LocationPlan!$E:$E,LocationPlan!$C:$C=cid),IFERROR(INDEX(c,MATCH(MAX(p),p,0)),""))))</f>
        <v/>
      </c>
    </row>
    <row r="394">
      <c r="B394">
        <f>IF($A394="","",XLOOKUP($A394,Clients!$A:$A,Clients!$D:$D)&amp;" "&amp;XLOOKUP($A394,Clients!$A:$A,Clients!$E:$E))</f>
        <v/>
      </c>
      <c r="C394">
        <f>IF($A394="","",DATEDIF(XLOOKUP($A394,Clients!$A:$A,Clients!$F:$F),VAL_DATE,"Y"))</f>
        <v/>
      </c>
      <c r="D394">
        <f>IF(OR($A394="",E394=""),"",E394-C394)</f>
        <v/>
      </c>
      <c r="E394">
        <f>IF($A394="","",XLOOKUP($A394,RetirementPlan!$B:$B,RetirementPlan!$C:$C,""))</f>
        <v/>
      </c>
      <c r="F394" s="9">
        <f>IF(OR($A394="",D394=""),"",FV(IF(IFERROR(XLOOKUP($A394,RetirementPlan!$B:$B,RetirementPlan!$K:$K,""),"")="",GROWTH,IFERROR(XLOOKUP($A394,RetirementPlan!$B:$B,RetirementPlan!$K:$K,""),"")),D394,-N(XLOOKUP($A394,RetirementPlan!$B:$B,RetirementPlan!$I:$I,0)),-SUMIFS(Assets!$J:$J,Assets!$B:$B,$A394,Assets!$R:$R,"Yes"),0))</f>
        <v/>
      </c>
      <c r="G394" s="9">
        <f>IF(OR($A394="",I394=""),"",MAX(0,(I394-J394)/IF(IFERROR(XLOOKUP($A394,RetirementPlan!$B:$B,RetirementPlan!$M:$M,""),"")="",SWR,IFERROR(XLOOKUP($A394,RetirementPlan!$B:$B,RetirementPlan!$M:$M,""),""))))</f>
        <v/>
      </c>
      <c r="H394" s="9">
        <f>IF(OR($A394="",F394="",G394=""),"",F394-G394)</f>
        <v/>
      </c>
      <c r="I394" s="9">
        <f>IF($A394="","",XLOOKUP($A394,RetirementPlan!$B:$B,RetirementPlan!$E:$E,""))</f>
        <v/>
      </c>
      <c r="J394" s="9">
        <f>IF($A394="","",N(XLOOKUP($A394,RetirementPlan!$B:$B,RetirementPlan!$G:$G,0))+N(XLOOKUP($A394,RetirementPlan!$B:$B,RetirementPlan!$H:$H,0)))</f>
        <v/>
      </c>
      <c r="K394">
        <f>IF($A394="","",IF(NOT(ISBLANK(XLOOKUP($A394,RetirementPlan!$B:$B,RetirementPlan!$N:$N,""))),XLOOKUP($A394,RetirementPlan!$B:$B,RetirementPlan!$N:$N,""),LET(cid,$A394,c,FILTER(LocationPlan!$D:$D,LocationPlan!$C:$C=cid),p,FILTER(LocationPlan!$E:$E,LocationPlan!$C:$C=cid),IFERROR(INDEX(c,MATCH(MAX(p),p,0)),""))))</f>
        <v/>
      </c>
    </row>
    <row r="395">
      <c r="B395">
        <f>IF($A395="","",XLOOKUP($A395,Clients!$A:$A,Clients!$D:$D)&amp;" "&amp;XLOOKUP($A395,Clients!$A:$A,Clients!$E:$E))</f>
        <v/>
      </c>
      <c r="C395">
        <f>IF($A395="","",DATEDIF(XLOOKUP($A395,Clients!$A:$A,Clients!$F:$F),VAL_DATE,"Y"))</f>
        <v/>
      </c>
      <c r="D395">
        <f>IF(OR($A395="",E395=""),"",E395-C395)</f>
        <v/>
      </c>
      <c r="E395">
        <f>IF($A395="","",XLOOKUP($A395,RetirementPlan!$B:$B,RetirementPlan!$C:$C,""))</f>
        <v/>
      </c>
      <c r="F395" s="9">
        <f>IF(OR($A395="",D395=""),"",FV(IF(IFERROR(XLOOKUP($A395,RetirementPlan!$B:$B,RetirementPlan!$K:$K,""),"")="",GROWTH,IFERROR(XLOOKUP($A395,RetirementPlan!$B:$B,RetirementPlan!$K:$K,""),"")),D395,-N(XLOOKUP($A395,RetirementPlan!$B:$B,RetirementPlan!$I:$I,0)),-SUMIFS(Assets!$J:$J,Assets!$B:$B,$A395,Assets!$R:$R,"Yes"),0))</f>
        <v/>
      </c>
      <c r="G395" s="9">
        <f>IF(OR($A395="",I395=""),"",MAX(0,(I395-J395)/IF(IFERROR(XLOOKUP($A395,RetirementPlan!$B:$B,RetirementPlan!$M:$M,""),"")="",SWR,IFERROR(XLOOKUP($A395,RetirementPlan!$B:$B,RetirementPlan!$M:$M,""),""))))</f>
        <v/>
      </c>
      <c r="H395" s="9">
        <f>IF(OR($A395="",F395="",G395=""),"",F395-G395)</f>
        <v/>
      </c>
      <c r="I395" s="9">
        <f>IF($A395="","",XLOOKUP($A395,RetirementPlan!$B:$B,RetirementPlan!$E:$E,""))</f>
        <v/>
      </c>
      <c r="J395" s="9">
        <f>IF($A395="","",N(XLOOKUP($A395,RetirementPlan!$B:$B,RetirementPlan!$G:$G,0))+N(XLOOKUP($A395,RetirementPlan!$B:$B,RetirementPlan!$H:$H,0)))</f>
        <v/>
      </c>
      <c r="K395">
        <f>IF($A395="","",IF(NOT(ISBLANK(XLOOKUP($A395,RetirementPlan!$B:$B,RetirementPlan!$N:$N,""))),XLOOKUP($A395,RetirementPlan!$B:$B,RetirementPlan!$N:$N,""),LET(cid,$A395,c,FILTER(LocationPlan!$D:$D,LocationPlan!$C:$C=cid),p,FILTER(LocationPlan!$E:$E,LocationPlan!$C:$C=cid),IFERROR(INDEX(c,MATCH(MAX(p),p,0)),""))))</f>
        <v/>
      </c>
    </row>
    <row r="396">
      <c r="B396">
        <f>IF($A396="","",XLOOKUP($A396,Clients!$A:$A,Clients!$D:$D)&amp;" "&amp;XLOOKUP($A396,Clients!$A:$A,Clients!$E:$E))</f>
        <v/>
      </c>
      <c r="C396">
        <f>IF($A396="","",DATEDIF(XLOOKUP($A396,Clients!$A:$A,Clients!$F:$F),VAL_DATE,"Y"))</f>
        <v/>
      </c>
      <c r="D396">
        <f>IF(OR($A396="",E396=""),"",E396-C396)</f>
        <v/>
      </c>
      <c r="E396">
        <f>IF($A396="","",XLOOKUP($A396,RetirementPlan!$B:$B,RetirementPlan!$C:$C,""))</f>
        <v/>
      </c>
      <c r="F396" s="9">
        <f>IF(OR($A396="",D396=""),"",FV(IF(IFERROR(XLOOKUP($A396,RetirementPlan!$B:$B,RetirementPlan!$K:$K,""),"")="",GROWTH,IFERROR(XLOOKUP($A396,RetirementPlan!$B:$B,RetirementPlan!$K:$K,""),"")),D396,-N(XLOOKUP($A396,RetirementPlan!$B:$B,RetirementPlan!$I:$I,0)),-SUMIFS(Assets!$J:$J,Assets!$B:$B,$A396,Assets!$R:$R,"Yes"),0))</f>
        <v/>
      </c>
      <c r="G396" s="9">
        <f>IF(OR($A396="",I396=""),"",MAX(0,(I396-J396)/IF(IFERROR(XLOOKUP($A396,RetirementPlan!$B:$B,RetirementPlan!$M:$M,""),"")="",SWR,IFERROR(XLOOKUP($A396,RetirementPlan!$B:$B,RetirementPlan!$M:$M,""),""))))</f>
        <v/>
      </c>
      <c r="H396" s="9">
        <f>IF(OR($A396="",F396="",G396=""),"",F396-G396)</f>
        <v/>
      </c>
      <c r="I396" s="9">
        <f>IF($A396="","",XLOOKUP($A396,RetirementPlan!$B:$B,RetirementPlan!$E:$E,""))</f>
        <v/>
      </c>
      <c r="J396" s="9">
        <f>IF($A396="","",N(XLOOKUP($A396,RetirementPlan!$B:$B,RetirementPlan!$G:$G,0))+N(XLOOKUP($A396,RetirementPlan!$B:$B,RetirementPlan!$H:$H,0)))</f>
        <v/>
      </c>
      <c r="K396">
        <f>IF($A396="","",IF(NOT(ISBLANK(XLOOKUP($A396,RetirementPlan!$B:$B,RetirementPlan!$N:$N,""))),XLOOKUP($A396,RetirementPlan!$B:$B,RetirementPlan!$N:$N,""),LET(cid,$A396,c,FILTER(LocationPlan!$D:$D,LocationPlan!$C:$C=cid),p,FILTER(LocationPlan!$E:$E,LocationPlan!$C:$C=cid),IFERROR(INDEX(c,MATCH(MAX(p),p,0)),""))))</f>
        <v/>
      </c>
    </row>
    <row r="397">
      <c r="B397">
        <f>IF($A397="","",XLOOKUP($A397,Clients!$A:$A,Clients!$D:$D)&amp;" "&amp;XLOOKUP($A397,Clients!$A:$A,Clients!$E:$E))</f>
        <v/>
      </c>
      <c r="C397">
        <f>IF($A397="","",DATEDIF(XLOOKUP($A397,Clients!$A:$A,Clients!$F:$F),VAL_DATE,"Y"))</f>
        <v/>
      </c>
      <c r="D397">
        <f>IF(OR($A397="",E397=""),"",E397-C397)</f>
        <v/>
      </c>
      <c r="E397">
        <f>IF($A397="","",XLOOKUP($A397,RetirementPlan!$B:$B,RetirementPlan!$C:$C,""))</f>
        <v/>
      </c>
      <c r="F397" s="9">
        <f>IF(OR($A397="",D397=""),"",FV(IF(IFERROR(XLOOKUP($A397,RetirementPlan!$B:$B,RetirementPlan!$K:$K,""),"")="",GROWTH,IFERROR(XLOOKUP($A397,RetirementPlan!$B:$B,RetirementPlan!$K:$K,""),"")),D397,-N(XLOOKUP($A397,RetirementPlan!$B:$B,RetirementPlan!$I:$I,0)),-SUMIFS(Assets!$J:$J,Assets!$B:$B,$A397,Assets!$R:$R,"Yes"),0))</f>
        <v/>
      </c>
      <c r="G397" s="9">
        <f>IF(OR($A397="",I397=""),"",MAX(0,(I397-J397)/IF(IFERROR(XLOOKUP($A397,RetirementPlan!$B:$B,RetirementPlan!$M:$M,""),"")="",SWR,IFERROR(XLOOKUP($A397,RetirementPlan!$B:$B,RetirementPlan!$M:$M,""),""))))</f>
        <v/>
      </c>
      <c r="H397" s="9">
        <f>IF(OR($A397="",F397="",G397=""),"",F397-G397)</f>
        <v/>
      </c>
      <c r="I397" s="9">
        <f>IF($A397="","",XLOOKUP($A397,RetirementPlan!$B:$B,RetirementPlan!$E:$E,""))</f>
        <v/>
      </c>
      <c r="J397" s="9">
        <f>IF($A397="","",N(XLOOKUP($A397,RetirementPlan!$B:$B,RetirementPlan!$G:$G,0))+N(XLOOKUP($A397,RetirementPlan!$B:$B,RetirementPlan!$H:$H,0)))</f>
        <v/>
      </c>
      <c r="K397">
        <f>IF($A397="","",IF(NOT(ISBLANK(XLOOKUP($A397,RetirementPlan!$B:$B,RetirementPlan!$N:$N,""))),XLOOKUP($A397,RetirementPlan!$B:$B,RetirementPlan!$N:$N,""),LET(cid,$A397,c,FILTER(LocationPlan!$D:$D,LocationPlan!$C:$C=cid),p,FILTER(LocationPlan!$E:$E,LocationPlan!$C:$C=cid),IFERROR(INDEX(c,MATCH(MAX(p),p,0)),""))))</f>
        <v/>
      </c>
    </row>
    <row r="398">
      <c r="B398">
        <f>IF($A398="","",XLOOKUP($A398,Clients!$A:$A,Clients!$D:$D)&amp;" "&amp;XLOOKUP($A398,Clients!$A:$A,Clients!$E:$E))</f>
        <v/>
      </c>
      <c r="C398">
        <f>IF($A398="","",DATEDIF(XLOOKUP($A398,Clients!$A:$A,Clients!$F:$F),VAL_DATE,"Y"))</f>
        <v/>
      </c>
      <c r="D398">
        <f>IF(OR($A398="",E398=""),"",E398-C398)</f>
        <v/>
      </c>
      <c r="E398">
        <f>IF($A398="","",XLOOKUP($A398,RetirementPlan!$B:$B,RetirementPlan!$C:$C,""))</f>
        <v/>
      </c>
      <c r="F398" s="9">
        <f>IF(OR($A398="",D398=""),"",FV(IF(IFERROR(XLOOKUP($A398,RetirementPlan!$B:$B,RetirementPlan!$K:$K,""),"")="",GROWTH,IFERROR(XLOOKUP($A398,RetirementPlan!$B:$B,RetirementPlan!$K:$K,""),"")),D398,-N(XLOOKUP($A398,RetirementPlan!$B:$B,RetirementPlan!$I:$I,0)),-SUMIFS(Assets!$J:$J,Assets!$B:$B,$A398,Assets!$R:$R,"Yes"),0))</f>
        <v/>
      </c>
      <c r="G398" s="9">
        <f>IF(OR($A398="",I398=""),"",MAX(0,(I398-J398)/IF(IFERROR(XLOOKUP($A398,RetirementPlan!$B:$B,RetirementPlan!$M:$M,""),"")="",SWR,IFERROR(XLOOKUP($A398,RetirementPlan!$B:$B,RetirementPlan!$M:$M,""),""))))</f>
        <v/>
      </c>
      <c r="H398" s="9">
        <f>IF(OR($A398="",F398="",G398=""),"",F398-G398)</f>
        <v/>
      </c>
      <c r="I398" s="9">
        <f>IF($A398="","",XLOOKUP($A398,RetirementPlan!$B:$B,RetirementPlan!$E:$E,""))</f>
        <v/>
      </c>
      <c r="J398" s="9">
        <f>IF($A398="","",N(XLOOKUP($A398,RetirementPlan!$B:$B,RetirementPlan!$G:$G,0))+N(XLOOKUP($A398,RetirementPlan!$B:$B,RetirementPlan!$H:$H,0)))</f>
        <v/>
      </c>
      <c r="K398">
        <f>IF($A398="","",IF(NOT(ISBLANK(XLOOKUP($A398,RetirementPlan!$B:$B,RetirementPlan!$N:$N,""))),XLOOKUP($A398,RetirementPlan!$B:$B,RetirementPlan!$N:$N,""),LET(cid,$A398,c,FILTER(LocationPlan!$D:$D,LocationPlan!$C:$C=cid),p,FILTER(LocationPlan!$E:$E,LocationPlan!$C:$C=cid),IFERROR(INDEX(c,MATCH(MAX(p),p,0)),""))))</f>
        <v/>
      </c>
    </row>
    <row r="399">
      <c r="B399">
        <f>IF($A399="","",XLOOKUP($A399,Clients!$A:$A,Clients!$D:$D)&amp;" "&amp;XLOOKUP($A399,Clients!$A:$A,Clients!$E:$E))</f>
        <v/>
      </c>
      <c r="C399">
        <f>IF($A399="","",DATEDIF(XLOOKUP($A399,Clients!$A:$A,Clients!$F:$F),VAL_DATE,"Y"))</f>
        <v/>
      </c>
      <c r="D399">
        <f>IF(OR($A399="",E399=""),"",E399-C399)</f>
        <v/>
      </c>
      <c r="E399">
        <f>IF($A399="","",XLOOKUP($A399,RetirementPlan!$B:$B,RetirementPlan!$C:$C,""))</f>
        <v/>
      </c>
      <c r="F399" s="9">
        <f>IF(OR($A399="",D399=""),"",FV(IF(IFERROR(XLOOKUP($A399,RetirementPlan!$B:$B,RetirementPlan!$K:$K,""),"")="",GROWTH,IFERROR(XLOOKUP($A399,RetirementPlan!$B:$B,RetirementPlan!$K:$K,""),"")),D399,-N(XLOOKUP($A399,RetirementPlan!$B:$B,RetirementPlan!$I:$I,0)),-SUMIFS(Assets!$J:$J,Assets!$B:$B,$A399,Assets!$R:$R,"Yes"),0))</f>
        <v/>
      </c>
      <c r="G399" s="9">
        <f>IF(OR($A399="",I399=""),"",MAX(0,(I399-J399)/IF(IFERROR(XLOOKUP($A399,RetirementPlan!$B:$B,RetirementPlan!$M:$M,""),"")="",SWR,IFERROR(XLOOKUP($A399,RetirementPlan!$B:$B,RetirementPlan!$M:$M,""),""))))</f>
        <v/>
      </c>
      <c r="H399" s="9">
        <f>IF(OR($A399="",F399="",G399=""),"",F399-G399)</f>
        <v/>
      </c>
      <c r="I399" s="9">
        <f>IF($A399="","",XLOOKUP($A399,RetirementPlan!$B:$B,RetirementPlan!$E:$E,""))</f>
        <v/>
      </c>
      <c r="J399" s="9">
        <f>IF($A399="","",N(XLOOKUP($A399,RetirementPlan!$B:$B,RetirementPlan!$G:$G,0))+N(XLOOKUP($A399,RetirementPlan!$B:$B,RetirementPlan!$H:$H,0)))</f>
        <v/>
      </c>
      <c r="K399">
        <f>IF($A399="","",IF(NOT(ISBLANK(XLOOKUP($A399,RetirementPlan!$B:$B,RetirementPlan!$N:$N,""))),XLOOKUP($A399,RetirementPlan!$B:$B,RetirementPlan!$N:$N,""),LET(cid,$A399,c,FILTER(LocationPlan!$D:$D,LocationPlan!$C:$C=cid),p,FILTER(LocationPlan!$E:$E,LocationPlan!$C:$C=cid),IFERROR(INDEX(c,MATCH(MAX(p),p,0)),""))))</f>
        <v/>
      </c>
    </row>
    <row r="400">
      <c r="B400">
        <f>IF($A400="","",XLOOKUP($A400,Clients!$A:$A,Clients!$D:$D)&amp;" "&amp;XLOOKUP($A400,Clients!$A:$A,Clients!$E:$E))</f>
        <v/>
      </c>
      <c r="C400">
        <f>IF($A400="","",DATEDIF(XLOOKUP($A400,Clients!$A:$A,Clients!$F:$F),VAL_DATE,"Y"))</f>
        <v/>
      </c>
      <c r="D400">
        <f>IF(OR($A400="",E400=""),"",E400-C400)</f>
        <v/>
      </c>
      <c r="E400">
        <f>IF($A400="","",XLOOKUP($A400,RetirementPlan!$B:$B,RetirementPlan!$C:$C,""))</f>
        <v/>
      </c>
      <c r="F400" s="9">
        <f>IF(OR($A400="",D400=""),"",FV(IF(IFERROR(XLOOKUP($A400,RetirementPlan!$B:$B,RetirementPlan!$K:$K,""),"")="",GROWTH,IFERROR(XLOOKUP($A400,RetirementPlan!$B:$B,RetirementPlan!$K:$K,""),"")),D400,-N(XLOOKUP($A400,RetirementPlan!$B:$B,RetirementPlan!$I:$I,0)),-SUMIFS(Assets!$J:$J,Assets!$B:$B,$A400,Assets!$R:$R,"Yes"),0))</f>
        <v/>
      </c>
      <c r="G400" s="9">
        <f>IF(OR($A400="",I400=""),"",MAX(0,(I400-J400)/IF(IFERROR(XLOOKUP($A400,RetirementPlan!$B:$B,RetirementPlan!$M:$M,""),"")="",SWR,IFERROR(XLOOKUP($A400,RetirementPlan!$B:$B,RetirementPlan!$M:$M,""),""))))</f>
        <v/>
      </c>
      <c r="H400" s="9">
        <f>IF(OR($A400="",F400="",G400=""),"",F400-G400)</f>
        <v/>
      </c>
      <c r="I400" s="9">
        <f>IF($A400="","",XLOOKUP($A400,RetirementPlan!$B:$B,RetirementPlan!$E:$E,""))</f>
        <v/>
      </c>
      <c r="J400" s="9">
        <f>IF($A400="","",N(XLOOKUP($A400,RetirementPlan!$B:$B,RetirementPlan!$G:$G,0))+N(XLOOKUP($A400,RetirementPlan!$B:$B,RetirementPlan!$H:$H,0)))</f>
        <v/>
      </c>
      <c r="K400">
        <f>IF($A400="","",IF(NOT(ISBLANK(XLOOKUP($A400,RetirementPlan!$B:$B,RetirementPlan!$N:$N,""))),XLOOKUP($A400,RetirementPlan!$B:$B,RetirementPlan!$N:$N,""),LET(cid,$A400,c,FILTER(LocationPlan!$D:$D,LocationPlan!$C:$C=cid),p,FILTER(LocationPlan!$E:$E,LocationPlan!$C:$C=cid),IFERROR(INDEX(c,MATCH(MAX(p),p,0)),""))))</f>
        <v/>
      </c>
    </row>
    <row r="401">
      <c r="B401">
        <f>IF($A401="","",XLOOKUP($A401,Clients!$A:$A,Clients!$D:$D)&amp;" "&amp;XLOOKUP($A401,Clients!$A:$A,Clients!$E:$E))</f>
        <v/>
      </c>
      <c r="C401">
        <f>IF($A401="","",DATEDIF(XLOOKUP($A401,Clients!$A:$A,Clients!$F:$F),VAL_DATE,"Y"))</f>
        <v/>
      </c>
      <c r="D401">
        <f>IF(OR($A401="",E401=""),"",E401-C401)</f>
        <v/>
      </c>
      <c r="E401">
        <f>IF($A401="","",XLOOKUP($A401,RetirementPlan!$B:$B,RetirementPlan!$C:$C,""))</f>
        <v/>
      </c>
      <c r="F401" s="9">
        <f>IF(OR($A401="",D401=""),"",FV(IF(IFERROR(XLOOKUP($A401,RetirementPlan!$B:$B,RetirementPlan!$K:$K,""),"")="",GROWTH,IFERROR(XLOOKUP($A401,RetirementPlan!$B:$B,RetirementPlan!$K:$K,""),"")),D401,-N(XLOOKUP($A401,RetirementPlan!$B:$B,RetirementPlan!$I:$I,0)),-SUMIFS(Assets!$J:$J,Assets!$B:$B,$A401,Assets!$R:$R,"Yes"),0))</f>
        <v/>
      </c>
      <c r="G401" s="9">
        <f>IF(OR($A401="",I401=""),"",MAX(0,(I401-J401)/IF(IFERROR(XLOOKUP($A401,RetirementPlan!$B:$B,RetirementPlan!$M:$M,""),"")="",SWR,IFERROR(XLOOKUP($A401,RetirementPlan!$B:$B,RetirementPlan!$M:$M,""),""))))</f>
        <v/>
      </c>
      <c r="H401" s="9">
        <f>IF(OR($A401="",F401="",G401=""),"",F401-G401)</f>
        <v/>
      </c>
      <c r="I401" s="9">
        <f>IF($A401="","",XLOOKUP($A401,RetirementPlan!$B:$B,RetirementPlan!$E:$E,""))</f>
        <v/>
      </c>
      <c r="J401" s="9">
        <f>IF($A401="","",N(XLOOKUP($A401,RetirementPlan!$B:$B,RetirementPlan!$G:$G,0))+N(XLOOKUP($A401,RetirementPlan!$B:$B,RetirementPlan!$H:$H,0)))</f>
        <v/>
      </c>
      <c r="K401">
        <f>IF($A401="","",IF(NOT(ISBLANK(XLOOKUP($A401,RetirementPlan!$B:$B,RetirementPlan!$N:$N,""))),XLOOKUP($A401,RetirementPlan!$B:$B,RetirementPlan!$N:$N,""),LET(cid,$A401,c,FILTER(LocationPlan!$D:$D,LocationPlan!$C:$C=cid),p,FILTER(LocationPlan!$E:$E,LocationPlan!$C:$C=cid),IFERROR(INDEX(c,MATCH(MAX(p),p,0)),""))))</f>
        <v/>
      </c>
    </row>
    <row r="402">
      <c r="B402">
        <f>IF($A402="","",XLOOKUP($A402,Clients!$A:$A,Clients!$D:$D)&amp;" "&amp;XLOOKUP($A402,Clients!$A:$A,Clients!$E:$E))</f>
        <v/>
      </c>
      <c r="C402">
        <f>IF($A402="","",DATEDIF(XLOOKUP($A402,Clients!$A:$A,Clients!$F:$F),VAL_DATE,"Y"))</f>
        <v/>
      </c>
      <c r="D402">
        <f>IF(OR($A402="",E402=""),"",E402-C402)</f>
        <v/>
      </c>
      <c r="E402">
        <f>IF($A402="","",XLOOKUP($A402,RetirementPlan!$B:$B,RetirementPlan!$C:$C,""))</f>
        <v/>
      </c>
      <c r="F402" s="9">
        <f>IF(OR($A402="",D402=""),"",FV(IF(IFERROR(XLOOKUP($A402,RetirementPlan!$B:$B,RetirementPlan!$K:$K,""),"")="",GROWTH,IFERROR(XLOOKUP($A402,RetirementPlan!$B:$B,RetirementPlan!$K:$K,""),"")),D402,-N(XLOOKUP($A402,RetirementPlan!$B:$B,RetirementPlan!$I:$I,0)),-SUMIFS(Assets!$J:$J,Assets!$B:$B,$A402,Assets!$R:$R,"Yes"),0))</f>
        <v/>
      </c>
      <c r="G402" s="9">
        <f>IF(OR($A402="",I402=""),"",MAX(0,(I402-J402)/IF(IFERROR(XLOOKUP($A402,RetirementPlan!$B:$B,RetirementPlan!$M:$M,""),"")="",SWR,IFERROR(XLOOKUP($A402,RetirementPlan!$B:$B,RetirementPlan!$M:$M,""),""))))</f>
        <v/>
      </c>
      <c r="H402" s="9">
        <f>IF(OR($A402="",F402="",G402=""),"",F402-G402)</f>
        <v/>
      </c>
      <c r="I402" s="9">
        <f>IF($A402="","",XLOOKUP($A402,RetirementPlan!$B:$B,RetirementPlan!$E:$E,""))</f>
        <v/>
      </c>
      <c r="J402" s="9">
        <f>IF($A402="","",N(XLOOKUP($A402,RetirementPlan!$B:$B,RetirementPlan!$G:$G,0))+N(XLOOKUP($A402,RetirementPlan!$B:$B,RetirementPlan!$H:$H,0)))</f>
        <v/>
      </c>
      <c r="K402">
        <f>IF($A402="","",IF(NOT(ISBLANK(XLOOKUP($A402,RetirementPlan!$B:$B,RetirementPlan!$N:$N,""))),XLOOKUP($A402,RetirementPlan!$B:$B,RetirementPlan!$N:$N,""),LET(cid,$A402,c,FILTER(LocationPlan!$D:$D,LocationPlan!$C:$C=cid),p,FILTER(LocationPlan!$E:$E,LocationPlan!$C:$C=cid),IFERROR(INDEX(c,MATCH(MAX(p),p,0)),""))))</f>
        <v/>
      </c>
    </row>
    <row r="403">
      <c r="B403">
        <f>IF($A403="","",XLOOKUP($A403,Clients!$A:$A,Clients!$D:$D)&amp;" "&amp;XLOOKUP($A403,Clients!$A:$A,Clients!$E:$E))</f>
        <v/>
      </c>
      <c r="C403">
        <f>IF($A403="","",DATEDIF(XLOOKUP($A403,Clients!$A:$A,Clients!$F:$F),VAL_DATE,"Y"))</f>
        <v/>
      </c>
      <c r="D403">
        <f>IF(OR($A403="",E403=""),"",E403-C403)</f>
        <v/>
      </c>
      <c r="E403">
        <f>IF($A403="","",XLOOKUP($A403,RetirementPlan!$B:$B,RetirementPlan!$C:$C,""))</f>
        <v/>
      </c>
      <c r="F403" s="9">
        <f>IF(OR($A403="",D403=""),"",FV(IF(IFERROR(XLOOKUP($A403,RetirementPlan!$B:$B,RetirementPlan!$K:$K,""),"")="",GROWTH,IFERROR(XLOOKUP($A403,RetirementPlan!$B:$B,RetirementPlan!$K:$K,""),"")),D403,-N(XLOOKUP($A403,RetirementPlan!$B:$B,RetirementPlan!$I:$I,0)),-SUMIFS(Assets!$J:$J,Assets!$B:$B,$A403,Assets!$R:$R,"Yes"),0))</f>
        <v/>
      </c>
      <c r="G403" s="9">
        <f>IF(OR($A403="",I403=""),"",MAX(0,(I403-J403)/IF(IFERROR(XLOOKUP($A403,RetirementPlan!$B:$B,RetirementPlan!$M:$M,""),"")="",SWR,IFERROR(XLOOKUP($A403,RetirementPlan!$B:$B,RetirementPlan!$M:$M,""),""))))</f>
        <v/>
      </c>
      <c r="H403" s="9">
        <f>IF(OR($A403="",F403="",G403=""),"",F403-G403)</f>
        <v/>
      </c>
      <c r="I403" s="9">
        <f>IF($A403="","",XLOOKUP($A403,RetirementPlan!$B:$B,RetirementPlan!$E:$E,""))</f>
        <v/>
      </c>
      <c r="J403" s="9">
        <f>IF($A403="","",N(XLOOKUP($A403,RetirementPlan!$B:$B,RetirementPlan!$G:$G,0))+N(XLOOKUP($A403,RetirementPlan!$B:$B,RetirementPlan!$H:$H,0)))</f>
        <v/>
      </c>
      <c r="K403">
        <f>IF($A403="","",IF(NOT(ISBLANK(XLOOKUP($A403,RetirementPlan!$B:$B,RetirementPlan!$N:$N,""))),XLOOKUP($A403,RetirementPlan!$B:$B,RetirementPlan!$N:$N,""),LET(cid,$A403,c,FILTER(LocationPlan!$D:$D,LocationPlan!$C:$C=cid),p,FILTER(LocationPlan!$E:$E,LocationPlan!$C:$C=cid),IFERROR(INDEX(c,MATCH(MAX(p),p,0)),""))))</f>
        <v/>
      </c>
    </row>
    <row r="404">
      <c r="B404">
        <f>IF($A404="","",XLOOKUP($A404,Clients!$A:$A,Clients!$D:$D)&amp;" "&amp;XLOOKUP($A404,Clients!$A:$A,Clients!$E:$E))</f>
        <v/>
      </c>
      <c r="C404">
        <f>IF($A404="","",DATEDIF(XLOOKUP($A404,Clients!$A:$A,Clients!$F:$F),VAL_DATE,"Y"))</f>
        <v/>
      </c>
      <c r="D404">
        <f>IF(OR($A404="",E404=""),"",E404-C404)</f>
        <v/>
      </c>
      <c r="E404">
        <f>IF($A404="","",XLOOKUP($A404,RetirementPlan!$B:$B,RetirementPlan!$C:$C,""))</f>
        <v/>
      </c>
      <c r="F404" s="9">
        <f>IF(OR($A404="",D404=""),"",FV(IF(IFERROR(XLOOKUP($A404,RetirementPlan!$B:$B,RetirementPlan!$K:$K,""),"")="",GROWTH,IFERROR(XLOOKUP($A404,RetirementPlan!$B:$B,RetirementPlan!$K:$K,""),"")),D404,-N(XLOOKUP($A404,RetirementPlan!$B:$B,RetirementPlan!$I:$I,0)),-SUMIFS(Assets!$J:$J,Assets!$B:$B,$A404,Assets!$R:$R,"Yes"),0))</f>
        <v/>
      </c>
      <c r="G404" s="9">
        <f>IF(OR($A404="",I404=""),"",MAX(0,(I404-J404)/IF(IFERROR(XLOOKUP($A404,RetirementPlan!$B:$B,RetirementPlan!$M:$M,""),"")="",SWR,IFERROR(XLOOKUP($A404,RetirementPlan!$B:$B,RetirementPlan!$M:$M,""),""))))</f>
        <v/>
      </c>
      <c r="H404" s="9">
        <f>IF(OR($A404="",F404="",G404=""),"",F404-G404)</f>
        <v/>
      </c>
      <c r="I404" s="9">
        <f>IF($A404="","",XLOOKUP($A404,RetirementPlan!$B:$B,RetirementPlan!$E:$E,""))</f>
        <v/>
      </c>
      <c r="J404" s="9">
        <f>IF($A404="","",N(XLOOKUP($A404,RetirementPlan!$B:$B,RetirementPlan!$G:$G,0))+N(XLOOKUP($A404,RetirementPlan!$B:$B,RetirementPlan!$H:$H,0)))</f>
        <v/>
      </c>
      <c r="K404">
        <f>IF($A404="","",IF(NOT(ISBLANK(XLOOKUP($A404,RetirementPlan!$B:$B,RetirementPlan!$N:$N,""))),XLOOKUP($A404,RetirementPlan!$B:$B,RetirementPlan!$N:$N,""),LET(cid,$A404,c,FILTER(LocationPlan!$D:$D,LocationPlan!$C:$C=cid),p,FILTER(LocationPlan!$E:$E,LocationPlan!$C:$C=cid),IFERROR(INDEX(c,MATCH(MAX(p),p,0)),""))))</f>
        <v/>
      </c>
    </row>
    <row r="405">
      <c r="B405">
        <f>IF($A405="","",XLOOKUP($A405,Clients!$A:$A,Clients!$D:$D)&amp;" "&amp;XLOOKUP($A405,Clients!$A:$A,Clients!$E:$E))</f>
        <v/>
      </c>
      <c r="C405">
        <f>IF($A405="","",DATEDIF(XLOOKUP($A405,Clients!$A:$A,Clients!$F:$F),VAL_DATE,"Y"))</f>
        <v/>
      </c>
      <c r="D405">
        <f>IF(OR($A405="",E405=""),"",E405-C405)</f>
        <v/>
      </c>
      <c r="E405">
        <f>IF($A405="","",XLOOKUP($A405,RetirementPlan!$B:$B,RetirementPlan!$C:$C,""))</f>
        <v/>
      </c>
      <c r="F405" s="9">
        <f>IF(OR($A405="",D405=""),"",FV(IF(IFERROR(XLOOKUP($A405,RetirementPlan!$B:$B,RetirementPlan!$K:$K,""),"")="",GROWTH,IFERROR(XLOOKUP($A405,RetirementPlan!$B:$B,RetirementPlan!$K:$K,""),"")),D405,-N(XLOOKUP($A405,RetirementPlan!$B:$B,RetirementPlan!$I:$I,0)),-SUMIFS(Assets!$J:$J,Assets!$B:$B,$A405,Assets!$R:$R,"Yes"),0))</f>
        <v/>
      </c>
      <c r="G405" s="9">
        <f>IF(OR($A405="",I405=""),"",MAX(0,(I405-J405)/IF(IFERROR(XLOOKUP($A405,RetirementPlan!$B:$B,RetirementPlan!$M:$M,""),"")="",SWR,IFERROR(XLOOKUP($A405,RetirementPlan!$B:$B,RetirementPlan!$M:$M,""),""))))</f>
        <v/>
      </c>
      <c r="H405" s="9">
        <f>IF(OR($A405="",F405="",G405=""),"",F405-G405)</f>
        <v/>
      </c>
      <c r="I405" s="9">
        <f>IF($A405="","",XLOOKUP($A405,RetirementPlan!$B:$B,RetirementPlan!$E:$E,""))</f>
        <v/>
      </c>
      <c r="J405" s="9">
        <f>IF($A405="","",N(XLOOKUP($A405,RetirementPlan!$B:$B,RetirementPlan!$G:$G,0))+N(XLOOKUP($A405,RetirementPlan!$B:$B,RetirementPlan!$H:$H,0)))</f>
        <v/>
      </c>
      <c r="K405">
        <f>IF($A405="","",IF(NOT(ISBLANK(XLOOKUP($A405,RetirementPlan!$B:$B,RetirementPlan!$N:$N,""))),XLOOKUP($A405,RetirementPlan!$B:$B,RetirementPlan!$N:$N,""),LET(cid,$A405,c,FILTER(LocationPlan!$D:$D,LocationPlan!$C:$C=cid),p,FILTER(LocationPlan!$E:$E,LocationPlan!$C:$C=cid),IFERROR(INDEX(c,MATCH(MAX(p),p,0)),""))))</f>
        <v/>
      </c>
    </row>
    <row r="406">
      <c r="B406">
        <f>IF($A406="","",XLOOKUP($A406,Clients!$A:$A,Clients!$D:$D)&amp;" "&amp;XLOOKUP($A406,Clients!$A:$A,Clients!$E:$E))</f>
        <v/>
      </c>
      <c r="C406">
        <f>IF($A406="","",DATEDIF(XLOOKUP($A406,Clients!$A:$A,Clients!$F:$F),VAL_DATE,"Y"))</f>
        <v/>
      </c>
      <c r="D406">
        <f>IF(OR($A406="",E406=""),"",E406-C406)</f>
        <v/>
      </c>
      <c r="E406">
        <f>IF($A406="","",XLOOKUP($A406,RetirementPlan!$B:$B,RetirementPlan!$C:$C,""))</f>
        <v/>
      </c>
      <c r="F406" s="9">
        <f>IF(OR($A406="",D406=""),"",FV(IF(IFERROR(XLOOKUP($A406,RetirementPlan!$B:$B,RetirementPlan!$K:$K,""),"")="",GROWTH,IFERROR(XLOOKUP($A406,RetirementPlan!$B:$B,RetirementPlan!$K:$K,""),"")),D406,-N(XLOOKUP($A406,RetirementPlan!$B:$B,RetirementPlan!$I:$I,0)),-SUMIFS(Assets!$J:$J,Assets!$B:$B,$A406,Assets!$R:$R,"Yes"),0))</f>
        <v/>
      </c>
      <c r="G406" s="9">
        <f>IF(OR($A406="",I406=""),"",MAX(0,(I406-J406)/IF(IFERROR(XLOOKUP($A406,RetirementPlan!$B:$B,RetirementPlan!$M:$M,""),"")="",SWR,IFERROR(XLOOKUP($A406,RetirementPlan!$B:$B,RetirementPlan!$M:$M,""),""))))</f>
        <v/>
      </c>
      <c r="H406" s="9">
        <f>IF(OR($A406="",F406="",G406=""),"",F406-G406)</f>
        <v/>
      </c>
      <c r="I406" s="9">
        <f>IF($A406="","",XLOOKUP($A406,RetirementPlan!$B:$B,RetirementPlan!$E:$E,""))</f>
        <v/>
      </c>
      <c r="J406" s="9">
        <f>IF($A406="","",N(XLOOKUP($A406,RetirementPlan!$B:$B,RetirementPlan!$G:$G,0))+N(XLOOKUP($A406,RetirementPlan!$B:$B,RetirementPlan!$H:$H,0)))</f>
        <v/>
      </c>
      <c r="K406">
        <f>IF($A406="","",IF(NOT(ISBLANK(XLOOKUP($A406,RetirementPlan!$B:$B,RetirementPlan!$N:$N,""))),XLOOKUP($A406,RetirementPlan!$B:$B,RetirementPlan!$N:$N,""),LET(cid,$A406,c,FILTER(LocationPlan!$D:$D,LocationPlan!$C:$C=cid),p,FILTER(LocationPlan!$E:$E,LocationPlan!$C:$C=cid),IFERROR(INDEX(c,MATCH(MAX(p),p,0)),""))))</f>
        <v/>
      </c>
    </row>
    <row r="407">
      <c r="B407">
        <f>IF($A407="","",XLOOKUP($A407,Clients!$A:$A,Clients!$D:$D)&amp;" "&amp;XLOOKUP($A407,Clients!$A:$A,Clients!$E:$E))</f>
        <v/>
      </c>
      <c r="C407">
        <f>IF($A407="","",DATEDIF(XLOOKUP($A407,Clients!$A:$A,Clients!$F:$F),VAL_DATE,"Y"))</f>
        <v/>
      </c>
      <c r="D407">
        <f>IF(OR($A407="",E407=""),"",E407-C407)</f>
        <v/>
      </c>
      <c r="E407">
        <f>IF($A407="","",XLOOKUP($A407,RetirementPlan!$B:$B,RetirementPlan!$C:$C,""))</f>
        <v/>
      </c>
      <c r="F407" s="9">
        <f>IF(OR($A407="",D407=""),"",FV(IF(IFERROR(XLOOKUP($A407,RetirementPlan!$B:$B,RetirementPlan!$K:$K,""),"")="",GROWTH,IFERROR(XLOOKUP($A407,RetirementPlan!$B:$B,RetirementPlan!$K:$K,""),"")),D407,-N(XLOOKUP($A407,RetirementPlan!$B:$B,RetirementPlan!$I:$I,0)),-SUMIFS(Assets!$J:$J,Assets!$B:$B,$A407,Assets!$R:$R,"Yes"),0))</f>
        <v/>
      </c>
      <c r="G407" s="9">
        <f>IF(OR($A407="",I407=""),"",MAX(0,(I407-J407)/IF(IFERROR(XLOOKUP($A407,RetirementPlan!$B:$B,RetirementPlan!$M:$M,""),"")="",SWR,IFERROR(XLOOKUP($A407,RetirementPlan!$B:$B,RetirementPlan!$M:$M,""),""))))</f>
        <v/>
      </c>
      <c r="H407" s="9">
        <f>IF(OR($A407="",F407="",G407=""),"",F407-G407)</f>
        <v/>
      </c>
      <c r="I407" s="9">
        <f>IF($A407="","",XLOOKUP($A407,RetirementPlan!$B:$B,RetirementPlan!$E:$E,""))</f>
        <v/>
      </c>
      <c r="J407" s="9">
        <f>IF($A407="","",N(XLOOKUP($A407,RetirementPlan!$B:$B,RetirementPlan!$G:$G,0))+N(XLOOKUP($A407,RetirementPlan!$B:$B,RetirementPlan!$H:$H,0)))</f>
        <v/>
      </c>
      <c r="K407">
        <f>IF($A407="","",IF(NOT(ISBLANK(XLOOKUP($A407,RetirementPlan!$B:$B,RetirementPlan!$N:$N,""))),XLOOKUP($A407,RetirementPlan!$B:$B,RetirementPlan!$N:$N,""),LET(cid,$A407,c,FILTER(LocationPlan!$D:$D,LocationPlan!$C:$C=cid),p,FILTER(LocationPlan!$E:$E,LocationPlan!$C:$C=cid),IFERROR(INDEX(c,MATCH(MAX(p),p,0)),""))))</f>
        <v/>
      </c>
    </row>
    <row r="408">
      <c r="B408">
        <f>IF($A408="","",XLOOKUP($A408,Clients!$A:$A,Clients!$D:$D)&amp;" "&amp;XLOOKUP($A408,Clients!$A:$A,Clients!$E:$E))</f>
        <v/>
      </c>
      <c r="C408">
        <f>IF($A408="","",DATEDIF(XLOOKUP($A408,Clients!$A:$A,Clients!$F:$F),VAL_DATE,"Y"))</f>
        <v/>
      </c>
      <c r="D408">
        <f>IF(OR($A408="",E408=""),"",E408-C408)</f>
        <v/>
      </c>
      <c r="E408">
        <f>IF($A408="","",XLOOKUP($A408,RetirementPlan!$B:$B,RetirementPlan!$C:$C,""))</f>
        <v/>
      </c>
      <c r="F408" s="9">
        <f>IF(OR($A408="",D408=""),"",FV(IF(IFERROR(XLOOKUP($A408,RetirementPlan!$B:$B,RetirementPlan!$K:$K,""),"")="",GROWTH,IFERROR(XLOOKUP($A408,RetirementPlan!$B:$B,RetirementPlan!$K:$K,""),"")),D408,-N(XLOOKUP($A408,RetirementPlan!$B:$B,RetirementPlan!$I:$I,0)),-SUMIFS(Assets!$J:$J,Assets!$B:$B,$A408,Assets!$R:$R,"Yes"),0))</f>
        <v/>
      </c>
      <c r="G408" s="9">
        <f>IF(OR($A408="",I408=""),"",MAX(0,(I408-J408)/IF(IFERROR(XLOOKUP($A408,RetirementPlan!$B:$B,RetirementPlan!$M:$M,""),"")="",SWR,IFERROR(XLOOKUP($A408,RetirementPlan!$B:$B,RetirementPlan!$M:$M,""),""))))</f>
        <v/>
      </c>
      <c r="H408" s="9">
        <f>IF(OR($A408="",F408="",G408=""),"",F408-G408)</f>
        <v/>
      </c>
      <c r="I408" s="9">
        <f>IF($A408="","",XLOOKUP($A408,RetirementPlan!$B:$B,RetirementPlan!$E:$E,""))</f>
        <v/>
      </c>
      <c r="J408" s="9">
        <f>IF($A408="","",N(XLOOKUP($A408,RetirementPlan!$B:$B,RetirementPlan!$G:$G,0))+N(XLOOKUP($A408,RetirementPlan!$B:$B,RetirementPlan!$H:$H,0)))</f>
        <v/>
      </c>
      <c r="K408">
        <f>IF($A408="","",IF(NOT(ISBLANK(XLOOKUP($A408,RetirementPlan!$B:$B,RetirementPlan!$N:$N,""))),XLOOKUP($A408,RetirementPlan!$B:$B,RetirementPlan!$N:$N,""),LET(cid,$A408,c,FILTER(LocationPlan!$D:$D,LocationPlan!$C:$C=cid),p,FILTER(LocationPlan!$E:$E,LocationPlan!$C:$C=cid),IFERROR(INDEX(c,MATCH(MAX(p),p,0)),""))))</f>
        <v/>
      </c>
    </row>
    <row r="409">
      <c r="B409">
        <f>IF($A409="","",XLOOKUP($A409,Clients!$A:$A,Clients!$D:$D)&amp;" "&amp;XLOOKUP($A409,Clients!$A:$A,Clients!$E:$E))</f>
        <v/>
      </c>
      <c r="C409">
        <f>IF($A409="","",DATEDIF(XLOOKUP($A409,Clients!$A:$A,Clients!$F:$F),VAL_DATE,"Y"))</f>
        <v/>
      </c>
      <c r="D409">
        <f>IF(OR($A409="",E409=""),"",E409-C409)</f>
        <v/>
      </c>
      <c r="E409">
        <f>IF($A409="","",XLOOKUP($A409,RetirementPlan!$B:$B,RetirementPlan!$C:$C,""))</f>
        <v/>
      </c>
      <c r="F409" s="9">
        <f>IF(OR($A409="",D409=""),"",FV(IF(IFERROR(XLOOKUP($A409,RetirementPlan!$B:$B,RetirementPlan!$K:$K,""),"")="",GROWTH,IFERROR(XLOOKUP($A409,RetirementPlan!$B:$B,RetirementPlan!$K:$K,""),"")),D409,-N(XLOOKUP($A409,RetirementPlan!$B:$B,RetirementPlan!$I:$I,0)),-SUMIFS(Assets!$J:$J,Assets!$B:$B,$A409,Assets!$R:$R,"Yes"),0))</f>
        <v/>
      </c>
      <c r="G409" s="9">
        <f>IF(OR($A409="",I409=""),"",MAX(0,(I409-J409)/IF(IFERROR(XLOOKUP($A409,RetirementPlan!$B:$B,RetirementPlan!$M:$M,""),"")="",SWR,IFERROR(XLOOKUP($A409,RetirementPlan!$B:$B,RetirementPlan!$M:$M,""),""))))</f>
        <v/>
      </c>
      <c r="H409" s="9">
        <f>IF(OR($A409="",F409="",G409=""),"",F409-G409)</f>
        <v/>
      </c>
      <c r="I409" s="9">
        <f>IF($A409="","",XLOOKUP($A409,RetirementPlan!$B:$B,RetirementPlan!$E:$E,""))</f>
        <v/>
      </c>
      <c r="J409" s="9">
        <f>IF($A409="","",N(XLOOKUP($A409,RetirementPlan!$B:$B,RetirementPlan!$G:$G,0))+N(XLOOKUP($A409,RetirementPlan!$B:$B,RetirementPlan!$H:$H,0)))</f>
        <v/>
      </c>
      <c r="K409">
        <f>IF($A409="","",IF(NOT(ISBLANK(XLOOKUP($A409,RetirementPlan!$B:$B,RetirementPlan!$N:$N,""))),XLOOKUP($A409,RetirementPlan!$B:$B,RetirementPlan!$N:$N,""),LET(cid,$A409,c,FILTER(LocationPlan!$D:$D,LocationPlan!$C:$C=cid),p,FILTER(LocationPlan!$E:$E,LocationPlan!$C:$C=cid),IFERROR(INDEX(c,MATCH(MAX(p),p,0)),""))))</f>
        <v/>
      </c>
    </row>
    <row r="410">
      <c r="B410">
        <f>IF($A410="","",XLOOKUP($A410,Clients!$A:$A,Clients!$D:$D)&amp;" "&amp;XLOOKUP($A410,Clients!$A:$A,Clients!$E:$E))</f>
        <v/>
      </c>
      <c r="C410">
        <f>IF($A410="","",DATEDIF(XLOOKUP($A410,Clients!$A:$A,Clients!$F:$F),VAL_DATE,"Y"))</f>
        <v/>
      </c>
      <c r="D410">
        <f>IF(OR($A410="",E410=""),"",E410-C410)</f>
        <v/>
      </c>
      <c r="E410">
        <f>IF($A410="","",XLOOKUP($A410,RetirementPlan!$B:$B,RetirementPlan!$C:$C,""))</f>
        <v/>
      </c>
      <c r="F410" s="9">
        <f>IF(OR($A410="",D410=""),"",FV(IF(IFERROR(XLOOKUP($A410,RetirementPlan!$B:$B,RetirementPlan!$K:$K,""),"")="",GROWTH,IFERROR(XLOOKUP($A410,RetirementPlan!$B:$B,RetirementPlan!$K:$K,""),"")),D410,-N(XLOOKUP($A410,RetirementPlan!$B:$B,RetirementPlan!$I:$I,0)),-SUMIFS(Assets!$J:$J,Assets!$B:$B,$A410,Assets!$R:$R,"Yes"),0))</f>
        <v/>
      </c>
      <c r="G410" s="9">
        <f>IF(OR($A410="",I410=""),"",MAX(0,(I410-J410)/IF(IFERROR(XLOOKUP($A410,RetirementPlan!$B:$B,RetirementPlan!$M:$M,""),"")="",SWR,IFERROR(XLOOKUP($A410,RetirementPlan!$B:$B,RetirementPlan!$M:$M,""),""))))</f>
        <v/>
      </c>
      <c r="H410" s="9">
        <f>IF(OR($A410="",F410="",G410=""),"",F410-G410)</f>
        <v/>
      </c>
      <c r="I410" s="9">
        <f>IF($A410="","",XLOOKUP($A410,RetirementPlan!$B:$B,RetirementPlan!$E:$E,""))</f>
        <v/>
      </c>
      <c r="J410" s="9">
        <f>IF($A410="","",N(XLOOKUP($A410,RetirementPlan!$B:$B,RetirementPlan!$G:$G,0))+N(XLOOKUP($A410,RetirementPlan!$B:$B,RetirementPlan!$H:$H,0)))</f>
        <v/>
      </c>
      <c r="K410">
        <f>IF($A410="","",IF(NOT(ISBLANK(XLOOKUP($A410,RetirementPlan!$B:$B,RetirementPlan!$N:$N,""))),XLOOKUP($A410,RetirementPlan!$B:$B,RetirementPlan!$N:$N,""),LET(cid,$A410,c,FILTER(LocationPlan!$D:$D,LocationPlan!$C:$C=cid),p,FILTER(LocationPlan!$E:$E,LocationPlan!$C:$C=cid),IFERROR(INDEX(c,MATCH(MAX(p),p,0)),""))))</f>
        <v/>
      </c>
    </row>
    <row r="411">
      <c r="B411">
        <f>IF($A411="","",XLOOKUP($A411,Clients!$A:$A,Clients!$D:$D)&amp;" "&amp;XLOOKUP($A411,Clients!$A:$A,Clients!$E:$E))</f>
        <v/>
      </c>
      <c r="C411">
        <f>IF($A411="","",DATEDIF(XLOOKUP($A411,Clients!$A:$A,Clients!$F:$F),VAL_DATE,"Y"))</f>
        <v/>
      </c>
      <c r="D411">
        <f>IF(OR($A411="",E411=""),"",E411-C411)</f>
        <v/>
      </c>
      <c r="E411">
        <f>IF($A411="","",XLOOKUP($A411,RetirementPlan!$B:$B,RetirementPlan!$C:$C,""))</f>
        <v/>
      </c>
      <c r="F411" s="9">
        <f>IF(OR($A411="",D411=""),"",FV(IF(IFERROR(XLOOKUP($A411,RetirementPlan!$B:$B,RetirementPlan!$K:$K,""),"")="",GROWTH,IFERROR(XLOOKUP($A411,RetirementPlan!$B:$B,RetirementPlan!$K:$K,""),"")),D411,-N(XLOOKUP($A411,RetirementPlan!$B:$B,RetirementPlan!$I:$I,0)),-SUMIFS(Assets!$J:$J,Assets!$B:$B,$A411,Assets!$R:$R,"Yes"),0))</f>
        <v/>
      </c>
      <c r="G411" s="9">
        <f>IF(OR($A411="",I411=""),"",MAX(0,(I411-J411)/IF(IFERROR(XLOOKUP($A411,RetirementPlan!$B:$B,RetirementPlan!$M:$M,""),"")="",SWR,IFERROR(XLOOKUP($A411,RetirementPlan!$B:$B,RetirementPlan!$M:$M,""),""))))</f>
        <v/>
      </c>
      <c r="H411" s="9">
        <f>IF(OR($A411="",F411="",G411=""),"",F411-G411)</f>
        <v/>
      </c>
      <c r="I411" s="9">
        <f>IF($A411="","",XLOOKUP($A411,RetirementPlan!$B:$B,RetirementPlan!$E:$E,""))</f>
        <v/>
      </c>
      <c r="J411" s="9">
        <f>IF($A411="","",N(XLOOKUP($A411,RetirementPlan!$B:$B,RetirementPlan!$G:$G,0))+N(XLOOKUP($A411,RetirementPlan!$B:$B,RetirementPlan!$H:$H,0)))</f>
        <v/>
      </c>
      <c r="K411">
        <f>IF($A411="","",IF(NOT(ISBLANK(XLOOKUP($A411,RetirementPlan!$B:$B,RetirementPlan!$N:$N,""))),XLOOKUP($A411,RetirementPlan!$B:$B,RetirementPlan!$N:$N,""),LET(cid,$A411,c,FILTER(LocationPlan!$D:$D,LocationPlan!$C:$C=cid),p,FILTER(LocationPlan!$E:$E,LocationPlan!$C:$C=cid),IFERROR(INDEX(c,MATCH(MAX(p),p,0)),""))))</f>
        <v/>
      </c>
    </row>
    <row r="412">
      <c r="B412">
        <f>IF($A412="","",XLOOKUP($A412,Clients!$A:$A,Clients!$D:$D)&amp;" "&amp;XLOOKUP($A412,Clients!$A:$A,Clients!$E:$E))</f>
        <v/>
      </c>
      <c r="C412">
        <f>IF($A412="","",DATEDIF(XLOOKUP($A412,Clients!$A:$A,Clients!$F:$F),VAL_DATE,"Y"))</f>
        <v/>
      </c>
      <c r="D412">
        <f>IF(OR($A412="",E412=""),"",E412-C412)</f>
        <v/>
      </c>
      <c r="E412">
        <f>IF($A412="","",XLOOKUP($A412,RetirementPlan!$B:$B,RetirementPlan!$C:$C,""))</f>
        <v/>
      </c>
      <c r="F412" s="9">
        <f>IF(OR($A412="",D412=""),"",FV(IF(IFERROR(XLOOKUP($A412,RetirementPlan!$B:$B,RetirementPlan!$K:$K,""),"")="",GROWTH,IFERROR(XLOOKUP($A412,RetirementPlan!$B:$B,RetirementPlan!$K:$K,""),"")),D412,-N(XLOOKUP($A412,RetirementPlan!$B:$B,RetirementPlan!$I:$I,0)),-SUMIFS(Assets!$J:$J,Assets!$B:$B,$A412,Assets!$R:$R,"Yes"),0))</f>
        <v/>
      </c>
      <c r="G412" s="9">
        <f>IF(OR($A412="",I412=""),"",MAX(0,(I412-J412)/IF(IFERROR(XLOOKUP($A412,RetirementPlan!$B:$B,RetirementPlan!$M:$M,""),"")="",SWR,IFERROR(XLOOKUP($A412,RetirementPlan!$B:$B,RetirementPlan!$M:$M,""),""))))</f>
        <v/>
      </c>
      <c r="H412" s="9">
        <f>IF(OR($A412="",F412="",G412=""),"",F412-G412)</f>
        <v/>
      </c>
      <c r="I412" s="9">
        <f>IF($A412="","",XLOOKUP($A412,RetirementPlan!$B:$B,RetirementPlan!$E:$E,""))</f>
        <v/>
      </c>
      <c r="J412" s="9">
        <f>IF($A412="","",N(XLOOKUP($A412,RetirementPlan!$B:$B,RetirementPlan!$G:$G,0))+N(XLOOKUP($A412,RetirementPlan!$B:$B,RetirementPlan!$H:$H,0)))</f>
        <v/>
      </c>
      <c r="K412">
        <f>IF($A412="","",IF(NOT(ISBLANK(XLOOKUP($A412,RetirementPlan!$B:$B,RetirementPlan!$N:$N,""))),XLOOKUP($A412,RetirementPlan!$B:$B,RetirementPlan!$N:$N,""),LET(cid,$A412,c,FILTER(LocationPlan!$D:$D,LocationPlan!$C:$C=cid),p,FILTER(LocationPlan!$E:$E,LocationPlan!$C:$C=cid),IFERROR(INDEX(c,MATCH(MAX(p),p,0)),""))))</f>
        <v/>
      </c>
    </row>
    <row r="413">
      <c r="B413">
        <f>IF($A413="","",XLOOKUP($A413,Clients!$A:$A,Clients!$D:$D)&amp;" "&amp;XLOOKUP($A413,Clients!$A:$A,Clients!$E:$E))</f>
        <v/>
      </c>
      <c r="C413">
        <f>IF($A413="","",DATEDIF(XLOOKUP($A413,Clients!$A:$A,Clients!$F:$F),VAL_DATE,"Y"))</f>
        <v/>
      </c>
      <c r="D413">
        <f>IF(OR($A413="",E413=""),"",E413-C413)</f>
        <v/>
      </c>
      <c r="E413">
        <f>IF($A413="","",XLOOKUP($A413,RetirementPlan!$B:$B,RetirementPlan!$C:$C,""))</f>
        <v/>
      </c>
      <c r="F413" s="9">
        <f>IF(OR($A413="",D413=""),"",FV(IF(IFERROR(XLOOKUP($A413,RetirementPlan!$B:$B,RetirementPlan!$K:$K,""),"")="",GROWTH,IFERROR(XLOOKUP($A413,RetirementPlan!$B:$B,RetirementPlan!$K:$K,""),"")),D413,-N(XLOOKUP($A413,RetirementPlan!$B:$B,RetirementPlan!$I:$I,0)),-SUMIFS(Assets!$J:$J,Assets!$B:$B,$A413,Assets!$R:$R,"Yes"),0))</f>
        <v/>
      </c>
      <c r="G413" s="9">
        <f>IF(OR($A413="",I413=""),"",MAX(0,(I413-J413)/IF(IFERROR(XLOOKUP($A413,RetirementPlan!$B:$B,RetirementPlan!$M:$M,""),"")="",SWR,IFERROR(XLOOKUP($A413,RetirementPlan!$B:$B,RetirementPlan!$M:$M,""),""))))</f>
        <v/>
      </c>
      <c r="H413" s="9">
        <f>IF(OR($A413="",F413="",G413=""),"",F413-G413)</f>
        <v/>
      </c>
      <c r="I413" s="9">
        <f>IF($A413="","",XLOOKUP($A413,RetirementPlan!$B:$B,RetirementPlan!$E:$E,""))</f>
        <v/>
      </c>
      <c r="J413" s="9">
        <f>IF($A413="","",N(XLOOKUP($A413,RetirementPlan!$B:$B,RetirementPlan!$G:$G,0))+N(XLOOKUP($A413,RetirementPlan!$B:$B,RetirementPlan!$H:$H,0)))</f>
        <v/>
      </c>
      <c r="K413">
        <f>IF($A413="","",IF(NOT(ISBLANK(XLOOKUP($A413,RetirementPlan!$B:$B,RetirementPlan!$N:$N,""))),XLOOKUP($A413,RetirementPlan!$B:$B,RetirementPlan!$N:$N,""),LET(cid,$A413,c,FILTER(LocationPlan!$D:$D,LocationPlan!$C:$C=cid),p,FILTER(LocationPlan!$E:$E,LocationPlan!$C:$C=cid),IFERROR(INDEX(c,MATCH(MAX(p),p,0)),""))))</f>
        <v/>
      </c>
    </row>
    <row r="414">
      <c r="B414">
        <f>IF($A414="","",XLOOKUP($A414,Clients!$A:$A,Clients!$D:$D)&amp;" "&amp;XLOOKUP($A414,Clients!$A:$A,Clients!$E:$E))</f>
        <v/>
      </c>
      <c r="C414">
        <f>IF($A414="","",DATEDIF(XLOOKUP($A414,Clients!$A:$A,Clients!$F:$F),VAL_DATE,"Y"))</f>
        <v/>
      </c>
      <c r="D414">
        <f>IF(OR($A414="",E414=""),"",E414-C414)</f>
        <v/>
      </c>
      <c r="E414">
        <f>IF($A414="","",XLOOKUP($A414,RetirementPlan!$B:$B,RetirementPlan!$C:$C,""))</f>
        <v/>
      </c>
      <c r="F414" s="9">
        <f>IF(OR($A414="",D414=""),"",FV(IF(IFERROR(XLOOKUP($A414,RetirementPlan!$B:$B,RetirementPlan!$K:$K,""),"")="",GROWTH,IFERROR(XLOOKUP($A414,RetirementPlan!$B:$B,RetirementPlan!$K:$K,""),"")),D414,-N(XLOOKUP($A414,RetirementPlan!$B:$B,RetirementPlan!$I:$I,0)),-SUMIFS(Assets!$J:$J,Assets!$B:$B,$A414,Assets!$R:$R,"Yes"),0))</f>
        <v/>
      </c>
      <c r="G414" s="9">
        <f>IF(OR($A414="",I414=""),"",MAX(0,(I414-J414)/IF(IFERROR(XLOOKUP($A414,RetirementPlan!$B:$B,RetirementPlan!$M:$M,""),"")="",SWR,IFERROR(XLOOKUP($A414,RetirementPlan!$B:$B,RetirementPlan!$M:$M,""),""))))</f>
        <v/>
      </c>
      <c r="H414" s="9">
        <f>IF(OR($A414="",F414="",G414=""),"",F414-G414)</f>
        <v/>
      </c>
      <c r="I414" s="9">
        <f>IF($A414="","",XLOOKUP($A414,RetirementPlan!$B:$B,RetirementPlan!$E:$E,""))</f>
        <v/>
      </c>
      <c r="J414" s="9">
        <f>IF($A414="","",N(XLOOKUP($A414,RetirementPlan!$B:$B,RetirementPlan!$G:$G,0))+N(XLOOKUP($A414,RetirementPlan!$B:$B,RetirementPlan!$H:$H,0)))</f>
        <v/>
      </c>
      <c r="K414">
        <f>IF($A414="","",IF(NOT(ISBLANK(XLOOKUP($A414,RetirementPlan!$B:$B,RetirementPlan!$N:$N,""))),XLOOKUP($A414,RetirementPlan!$B:$B,RetirementPlan!$N:$N,""),LET(cid,$A414,c,FILTER(LocationPlan!$D:$D,LocationPlan!$C:$C=cid),p,FILTER(LocationPlan!$E:$E,LocationPlan!$C:$C=cid),IFERROR(INDEX(c,MATCH(MAX(p),p,0)),""))))</f>
        <v/>
      </c>
    </row>
    <row r="415">
      <c r="B415">
        <f>IF($A415="","",XLOOKUP($A415,Clients!$A:$A,Clients!$D:$D)&amp;" "&amp;XLOOKUP($A415,Clients!$A:$A,Clients!$E:$E))</f>
        <v/>
      </c>
      <c r="C415">
        <f>IF($A415="","",DATEDIF(XLOOKUP($A415,Clients!$A:$A,Clients!$F:$F),VAL_DATE,"Y"))</f>
        <v/>
      </c>
      <c r="D415">
        <f>IF(OR($A415="",E415=""),"",E415-C415)</f>
        <v/>
      </c>
      <c r="E415">
        <f>IF($A415="","",XLOOKUP($A415,RetirementPlan!$B:$B,RetirementPlan!$C:$C,""))</f>
        <v/>
      </c>
      <c r="F415" s="9">
        <f>IF(OR($A415="",D415=""),"",FV(IF(IFERROR(XLOOKUP($A415,RetirementPlan!$B:$B,RetirementPlan!$K:$K,""),"")="",GROWTH,IFERROR(XLOOKUP($A415,RetirementPlan!$B:$B,RetirementPlan!$K:$K,""),"")),D415,-N(XLOOKUP($A415,RetirementPlan!$B:$B,RetirementPlan!$I:$I,0)),-SUMIFS(Assets!$J:$J,Assets!$B:$B,$A415,Assets!$R:$R,"Yes"),0))</f>
        <v/>
      </c>
      <c r="G415" s="9">
        <f>IF(OR($A415="",I415=""),"",MAX(0,(I415-J415)/IF(IFERROR(XLOOKUP($A415,RetirementPlan!$B:$B,RetirementPlan!$M:$M,""),"")="",SWR,IFERROR(XLOOKUP($A415,RetirementPlan!$B:$B,RetirementPlan!$M:$M,""),""))))</f>
        <v/>
      </c>
      <c r="H415" s="9">
        <f>IF(OR($A415="",F415="",G415=""),"",F415-G415)</f>
        <v/>
      </c>
      <c r="I415" s="9">
        <f>IF($A415="","",XLOOKUP($A415,RetirementPlan!$B:$B,RetirementPlan!$E:$E,""))</f>
        <v/>
      </c>
      <c r="J415" s="9">
        <f>IF($A415="","",N(XLOOKUP($A415,RetirementPlan!$B:$B,RetirementPlan!$G:$G,0))+N(XLOOKUP($A415,RetirementPlan!$B:$B,RetirementPlan!$H:$H,0)))</f>
        <v/>
      </c>
      <c r="K415">
        <f>IF($A415="","",IF(NOT(ISBLANK(XLOOKUP($A415,RetirementPlan!$B:$B,RetirementPlan!$N:$N,""))),XLOOKUP($A415,RetirementPlan!$B:$B,RetirementPlan!$N:$N,""),LET(cid,$A415,c,FILTER(LocationPlan!$D:$D,LocationPlan!$C:$C=cid),p,FILTER(LocationPlan!$E:$E,LocationPlan!$C:$C=cid),IFERROR(INDEX(c,MATCH(MAX(p),p,0)),""))))</f>
        <v/>
      </c>
    </row>
    <row r="416">
      <c r="B416">
        <f>IF($A416="","",XLOOKUP($A416,Clients!$A:$A,Clients!$D:$D)&amp;" "&amp;XLOOKUP($A416,Clients!$A:$A,Clients!$E:$E))</f>
        <v/>
      </c>
      <c r="C416">
        <f>IF($A416="","",DATEDIF(XLOOKUP($A416,Clients!$A:$A,Clients!$F:$F),VAL_DATE,"Y"))</f>
        <v/>
      </c>
      <c r="D416">
        <f>IF(OR($A416="",E416=""),"",E416-C416)</f>
        <v/>
      </c>
      <c r="E416">
        <f>IF($A416="","",XLOOKUP($A416,RetirementPlan!$B:$B,RetirementPlan!$C:$C,""))</f>
        <v/>
      </c>
      <c r="F416" s="9">
        <f>IF(OR($A416="",D416=""),"",FV(IF(IFERROR(XLOOKUP($A416,RetirementPlan!$B:$B,RetirementPlan!$K:$K,""),"")="",GROWTH,IFERROR(XLOOKUP($A416,RetirementPlan!$B:$B,RetirementPlan!$K:$K,""),"")),D416,-N(XLOOKUP($A416,RetirementPlan!$B:$B,RetirementPlan!$I:$I,0)),-SUMIFS(Assets!$J:$J,Assets!$B:$B,$A416,Assets!$R:$R,"Yes"),0))</f>
        <v/>
      </c>
      <c r="G416" s="9">
        <f>IF(OR($A416="",I416=""),"",MAX(0,(I416-J416)/IF(IFERROR(XLOOKUP($A416,RetirementPlan!$B:$B,RetirementPlan!$M:$M,""),"")="",SWR,IFERROR(XLOOKUP($A416,RetirementPlan!$B:$B,RetirementPlan!$M:$M,""),""))))</f>
        <v/>
      </c>
      <c r="H416" s="9">
        <f>IF(OR($A416="",F416="",G416=""),"",F416-G416)</f>
        <v/>
      </c>
      <c r="I416" s="9">
        <f>IF($A416="","",XLOOKUP($A416,RetirementPlan!$B:$B,RetirementPlan!$E:$E,""))</f>
        <v/>
      </c>
      <c r="J416" s="9">
        <f>IF($A416="","",N(XLOOKUP($A416,RetirementPlan!$B:$B,RetirementPlan!$G:$G,0))+N(XLOOKUP($A416,RetirementPlan!$B:$B,RetirementPlan!$H:$H,0)))</f>
        <v/>
      </c>
      <c r="K416">
        <f>IF($A416="","",IF(NOT(ISBLANK(XLOOKUP($A416,RetirementPlan!$B:$B,RetirementPlan!$N:$N,""))),XLOOKUP($A416,RetirementPlan!$B:$B,RetirementPlan!$N:$N,""),LET(cid,$A416,c,FILTER(LocationPlan!$D:$D,LocationPlan!$C:$C=cid),p,FILTER(LocationPlan!$E:$E,LocationPlan!$C:$C=cid),IFERROR(INDEX(c,MATCH(MAX(p),p,0)),""))))</f>
        <v/>
      </c>
    </row>
    <row r="417">
      <c r="B417">
        <f>IF($A417="","",XLOOKUP($A417,Clients!$A:$A,Clients!$D:$D)&amp;" "&amp;XLOOKUP($A417,Clients!$A:$A,Clients!$E:$E))</f>
        <v/>
      </c>
      <c r="C417">
        <f>IF($A417="","",DATEDIF(XLOOKUP($A417,Clients!$A:$A,Clients!$F:$F),VAL_DATE,"Y"))</f>
        <v/>
      </c>
      <c r="D417">
        <f>IF(OR($A417="",E417=""),"",E417-C417)</f>
        <v/>
      </c>
      <c r="E417">
        <f>IF($A417="","",XLOOKUP($A417,RetirementPlan!$B:$B,RetirementPlan!$C:$C,""))</f>
        <v/>
      </c>
      <c r="F417" s="9">
        <f>IF(OR($A417="",D417=""),"",FV(IF(IFERROR(XLOOKUP($A417,RetirementPlan!$B:$B,RetirementPlan!$K:$K,""),"")="",GROWTH,IFERROR(XLOOKUP($A417,RetirementPlan!$B:$B,RetirementPlan!$K:$K,""),"")),D417,-N(XLOOKUP($A417,RetirementPlan!$B:$B,RetirementPlan!$I:$I,0)),-SUMIFS(Assets!$J:$J,Assets!$B:$B,$A417,Assets!$R:$R,"Yes"),0))</f>
        <v/>
      </c>
      <c r="G417" s="9">
        <f>IF(OR($A417="",I417=""),"",MAX(0,(I417-J417)/IF(IFERROR(XLOOKUP($A417,RetirementPlan!$B:$B,RetirementPlan!$M:$M,""),"")="",SWR,IFERROR(XLOOKUP($A417,RetirementPlan!$B:$B,RetirementPlan!$M:$M,""),""))))</f>
        <v/>
      </c>
      <c r="H417" s="9">
        <f>IF(OR($A417="",F417="",G417=""),"",F417-G417)</f>
        <v/>
      </c>
      <c r="I417" s="9">
        <f>IF($A417="","",XLOOKUP($A417,RetirementPlan!$B:$B,RetirementPlan!$E:$E,""))</f>
        <v/>
      </c>
      <c r="J417" s="9">
        <f>IF($A417="","",N(XLOOKUP($A417,RetirementPlan!$B:$B,RetirementPlan!$G:$G,0))+N(XLOOKUP($A417,RetirementPlan!$B:$B,RetirementPlan!$H:$H,0)))</f>
        <v/>
      </c>
      <c r="K417">
        <f>IF($A417="","",IF(NOT(ISBLANK(XLOOKUP($A417,RetirementPlan!$B:$B,RetirementPlan!$N:$N,""))),XLOOKUP($A417,RetirementPlan!$B:$B,RetirementPlan!$N:$N,""),LET(cid,$A417,c,FILTER(LocationPlan!$D:$D,LocationPlan!$C:$C=cid),p,FILTER(LocationPlan!$E:$E,LocationPlan!$C:$C=cid),IFERROR(INDEX(c,MATCH(MAX(p),p,0)),""))))</f>
        <v/>
      </c>
    </row>
    <row r="418">
      <c r="B418">
        <f>IF($A418="","",XLOOKUP($A418,Clients!$A:$A,Clients!$D:$D)&amp;" "&amp;XLOOKUP($A418,Clients!$A:$A,Clients!$E:$E))</f>
        <v/>
      </c>
      <c r="C418">
        <f>IF($A418="","",DATEDIF(XLOOKUP($A418,Clients!$A:$A,Clients!$F:$F),VAL_DATE,"Y"))</f>
        <v/>
      </c>
      <c r="D418">
        <f>IF(OR($A418="",E418=""),"",E418-C418)</f>
        <v/>
      </c>
      <c r="E418">
        <f>IF($A418="","",XLOOKUP($A418,RetirementPlan!$B:$B,RetirementPlan!$C:$C,""))</f>
        <v/>
      </c>
      <c r="F418" s="9">
        <f>IF(OR($A418="",D418=""),"",FV(IF(IFERROR(XLOOKUP($A418,RetirementPlan!$B:$B,RetirementPlan!$K:$K,""),"")="",GROWTH,IFERROR(XLOOKUP($A418,RetirementPlan!$B:$B,RetirementPlan!$K:$K,""),"")),D418,-N(XLOOKUP($A418,RetirementPlan!$B:$B,RetirementPlan!$I:$I,0)),-SUMIFS(Assets!$J:$J,Assets!$B:$B,$A418,Assets!$R:$R,"Yes"),0))</f>
        <v/>
      </c>
      <c r="G418" s="9">
        <f>IF(OR($A418="",I418=""),"",MAX(0,(I418-J418)/IF(IFERROR(XLOOKUP($A418,RetirementPlan!$B:$B,RetirementPlan!$M:$M,""),"")="",SWR,IFERROR(XLOOKUP($A418,RetirementPlan!$B:$B,RetirementPlan!$M:$M,""),""))))</f>
        <v/>
      </c>
      <c r="H418" s="9">
        <f>IF(OR($A418="",F418="",G418=""),"",F418-G418)</f>
        <v/>
      </c>
      <c r="I418" s="9">
        <f>IF($A418="","",XLOOKUP($A418,RetirementPlan!$B:$B,RetirementPlan!$E:$E,""))</f>
        <v/>
      </c>
      <c r="J418" s="9">
        <f>IF($A418="","",N(XLOOKUP($A418,RetirementPlan!$B:$B,RetirementPlan!$G:$G,0))+N(XLOOKUP($A418,RetirementPlan!$B:$B,RetirementPlan!$H:$H,0)))</f>
        <v/>
      </c>
      <c r="K418">
        <f>IF($A418="","",IF(NOT(ISBLANK(XLOOKUP($A418,RetirementPlan!$B:$B,RetirementPlan!$N:$N,""))),XLOOKUP($A418,RetirementPlan!$B:$B,RetirementPlan!$N:$N,""),LET(cid,$A418,c,FILTER(LocationPlan!$D:$D,LocationPlan!$C:$C=cid),p,FILTER(LocationPlan!$E:$E,LocationPlan!$C:$C=cid),IFERROR(INDEX(c,MATCH(MAX(p),p,0)),""))))</f>
        <v/>
      </c>
    </row>
    <row r="419">
      <c r="B419">
        <f>IF($A419="","",XLOOKUP($A419,Clients!$A:$A,Clients!$D:$D)&amp;" "&amp;XLOOKUP($A419,Clients!$A:$A,Clients!$E:$E))</f>
        <v/>
      </c>
      <c r="C419">
        <f>IF($A419="","",DATEDIF(XLOOKUP($A419,Clients!$A:$A,Clients!$F:$F),VAL_DATE,"Y"))</f>
        <v/>
      </c>
      <c r="D419">
        <f>IF(OR($A419="",E419=""),"",E419-C419)</f>
        <v/>
      </c>
      <c r="E419">
        <f>IF($A419="","",XLOOKUP($A419,RetirementPlan!$B:$B,RetirementPlan!$C:$C,""))</f>
        <v/>
      </c>
      <c r="F419" s="9">
        <f>IF(OR($A419="",D419=""),"",FV(IF(IFERROR(XLOOKUP($A419,RetirementPlan!$B:$B,RetirementPlan!$K:$K,""),"")="",GROWTH,IFERROR(XLOOKUP($A419,RetirementPlan!$B:$B,RetirementPlan!$K:$K,""),"")),D419,-N(XLOOKUP($A419,RetirementPlan!$B:$B,RetirementPlan!$I:$I,0)),-SUMIFS(Assets!$J:$J,Assets!$B:$B,$A419,Assets!$R:$R,"Yes"),0))</f>
        <v/>
      </c>
      <c r="G419" s="9">
        <f>IF(OR($A419="",I419=""),"",MAX(0,(I419-J419)/IF(IFERROR(XLOOKUP($A419,RetirementPlan!$B:$B,RetirementPlan!$M:$M,""),"")="",SWR,IFERROR(XLOOKUP($A419,RetirementPlan!$B:$B,RetirementPlan!$M:$M,""),""))))</f>
        <v/>
      </c>
      <c r="H419" s="9">
        <f>IF(OR($A419="",F419="",G419=""),"",F419-G419)</f>
        <v/>
      </c>
      <c r="I419" s="9">
        <f>IF($A419="","",XLOOKUP($A419,RetirementPlan!$B:$B,RetirementPlan!$E:$E,""))</f>
        <v/>
      </c>
      <c r="J419" s="9">
        <f>IF($A419="","",N(XLOOKUP($A419,RetirementPlan!$B:$B,RetirementPlan!$G:$G,0))+N(XLOOKUP($A419,RetirementPlan!$B:$B,RetirementPlan!$H:$H,0)))</f>
        <v/>
      </c>
      <c r="K419">
        <f>IF($A419="","",IF(NOT(ISBLANK(XLOOKUP($A419,RetirementPlan!$B:$B,RetirementPlan!$N:$N,""))),XLOOKUP($A419,RetirementPlan!$B:$B,RetirementPlan!$N:$N,""),LET(cid,$A419,c,FILTER(LocationPlan!$D:$D,LocationPlan!$C:$C=cid),p,FILTER(LocationPlan!$E:$E,LocationPlan!$C:$C=cid),IFERROR(INDEX(c,MATCH(MAX(p),p,0)),""))))</f>
        <v/>
      </c>
    </row>
    <row r="420">
      <c r="B420">
        <f>IF($A420="","",XLOOKUP($A420,Clients!$A:$A,Clients!$D:$D)&amp;" "&amp;XLOOKUP($A420,Clients!$A:$A,Clients!$E:$E))</f>
        <v/>
      </c>
      <c r="C420">
        <f>IF($A420="","",DATEDIF(XLOOKUP($A420,Clients!$A:$A,Clients!$F:$F),VAL_DATE,"Y"))</f>
        <v/>
      </c>
      <c r="D420">
        <f>IF(OR($A420="",E420=""),"",E420-C420)</f>
        <v/>
      </c>
      <c r="E420">
        <f>IF($A420="","",XLOOKUP($A420,RetirementPlan!$B:$B,RetirementPlan!$C:$C,""))</f>
        <v/>
      </c>
      <c r="F420" s="9">
        <f>IF(OR($A420="",D420=""),"",FV(IF(IFERROR(XLOOKUP($A420,RetirementPlan!$B:$B,RetirementPlan!$K:$K,""),"")="",GROWTH,IFERROR(XLOOKUP($A420,RetirementPlan!$B:$B,RetirementPlan!$K:$K,""),"")),D420,-N(XLOOKUP($A420,RetirementPlan!$B:$B,RetirementPlan!$I:$I,0)),-SUMIFS(Assets!$J:$J,Assets!$B:$B,$A420,Assets!$R:$R,"Yes"),0))</f>
        <v/>
      </c>
      <c r="G420" s="9">
        <f>IF(OR($A420="",I420=""),"",MAX(0,(I420-J420)/IF(IFERROR(XLOOKUP($A420,RetirementPlan!$B:$B,RetirementPlan!$M:$M,""),"")="",SWR,IFERROR(XLOOKUP($A420,RetirementPlan!$B:$B,RetirementPlan!$M:$M,""),""))))</f>
        <v/>
      </c>
      <c r="H420" s="9">
        <f>IF(OR($A420="",F420="",G420=""),"",F420-G420)</f>
        <v/>
      </c>
      <c r="I420" s="9">
        <f>IF($A420="","",XLOOKUP($A420,RetirementPlan!$B:$B,RetirementPlan!$E:$E,""))</f>
        <v/>
      </c>
      <c r="J420" s="9">
        <f>IF($A420="","",N(XLOOKUP($A420,RetirementPlan!$B:$B,RetirementPlan!$G:$G,0))+N(XLOOKUP($A420,RetirementPlan!$B:$B,RetirementPlan!$H:$H,0)))</f>
        <v/>
      </c>
      <c r="K420">
        <f>IF($A420="","",IF(NOT(ISBLANK(XLOOKUP($A420,RetirementPlan!$B:$B,RetirementPlan!$N:$N,""))),XLOOKUP($A420,RetirementPlan!$B:$B,RetirementPlan!$N:$N,""),LET(cid,$A420,c,FILTER(LocationPlan!$D:$D,LocationPlan!$C:$C=cid),p,FILTER(LocationPlan!$E:$E,LocationPlan!$C:$C=cid),IFERROR(INDEX(c,MATCH(MAX(p),p,0)),""))))</f>
        <v/>
      </c>
    </row>
    <row r="421">
      <c r="B421">
        <f>IF($A421="","",XLOOKUP($A421,Clients!$A:$A,Clients!$D:$D)&amp;" "&amp;XLOOKUP($A421,Clients!$A:$A,Clients!$E:$E))</f>
        <v/>
      </c>
      <c r="C421">
        <f>IF($A421="","",DATEDIF(XLOOKUP($A421,Clients!$A:$A,Clients!$F:$F),VAL_DATE,"Y"))</f>
        <v/>
      </c>
      <c r="D421">
        <f>IF(OR($A421="",E421=""),"",E421-C421)</f>
        <v/>
      </c>
      <c r="E421">
        <f>IF($A421="","",XLOOKUP($A421,RetirementPlan!$B:$B,RetirementPlan!$C:$C,""))</f>
        <v/>
      </c>
      <c r="F421" s="9">
        <f>IF(OR($A421="",D421=""),"",FV(IF(IFERROR(XLOOKUP($A421,RetirementPlan!$B:$B,RetirementPlan!$K:$K,""),"")="",GROWTH,IFERROR(XLOOKUP($A421,RetirementPlan!$B:$B,RetirementPlan!$K:$K,""),"")),D421,-N(XLOOKUP($A421,RetirementPlan!$B:$B,RetirementPlan!$I:$I,0)),-SUMIFS(Assets!$J:$J,Assets!$B:$B,$A421,Assets!$R:$R,"Yes"),0))</f>
        <v/>
      </c>
      <c r="G421" s="9">
        <f>IF(OR($A421="",I421=""),"",MAX(0,(I421-J421)/IF(IFERROR(XLOOKUP($A421,RetirementPlan!$B:$B,RetirementPlan!$M:$M,""),"")="",SWR,IFERROR(XLOOKUP($A421,RetirementPlan!$B:$B,RetirementPlan!$M:$M,""),""))))</f>
        <v/>
      </c>
      <c r="H421" s="9">
        <f>IF(OR($A421="",F421="",G421=""),"",F421-G421)</f>
        <v/>
      </c>
      <c r="I421" s="9">
        <f>IF($A421="","",XLOOKUP($A421,RetirementPlan!$B:$B,RetirementPlan!$E:$E,""))</f>
        <v/>
      </c>
      <c r="J421" s="9">
        <f>IF($A421="","",N(XLOOKUP($A421,RetirementPlan!$B:$B,RetirementPlan!$G:$G,0))+N(XLOOKUP($A421,RetirementPlan!$B:$B,RetirementPlan!$H:$H,0)))</f>
        <v/>
      </c>
      <c r="K421">
        <f>IF($A421="","",IF(NOT(ISBLANK(XLOOKUP($A421,RetirementPlan!$B:$B,RetirementPlan!$N:$N,""))),XLOOKUP($A421,RetirementPlan!$B:$B,RetirementPlan!$N:$N,""),LET(cid,$A421,c,FILTER(LocationPlan!$D:$D,LocationPlan!$C:$C=cid),p,FILTER(LocationPlan!$E:$E,LocationPlan!$C:$C=cid),IFERROR(INDEX(c,MATCH(MAX(p),p,0)),""))))</f>
        <v/>
      </c>
    </row>
    <row r="422">
      <c r="B422">
        <f>IF($A422="","",XLOOKUP($A422,Clients!$A:$A,Clients!$D:$D)&amp;" "&amp;XLOOKUP($A422,Clients!$A:$A,Clients!$E:$E))</f>
        <v/>
      </c>
      <c r="C422">
        <f>IF($A422="","",DATEDIF(XLOOKUP($A422,Clients!$A:$A,Clients!$F:$F),VAL_DATE,"Y"))</f>
        <v/>
      </c>
      <c r="D422">
        <f>IF(OR($A422="",E422=""),"",E422-C422)</f>
        <v/>
      </c>
      <c r="E422">
        <f>IF($A422="","",XLOOKUP($A422,RetirementPlan!$B:$B,RetirementPlan!$C:$C,""))</f>
        <v/>
      </c>
      <c r="F422" s="9">
        <f>IF(OR($A422="",D422=""),"",FV(IF(IFERROR(XLOOKUP($A422,RetirementPlan!$B:$B,RetirementPlan!$K:$K,""),"")="",GROWTH,IFERROR(XLOOKUP($A422,RetirementPlan!$B:$B,RetirementPlan!$K:$K,""),"")),D422,-N(XLOOKUP($A422,RetirementPlan!$B:$B,RetirementPlan!$I:$I,0)),-SUMIFS(Assets!$J:$J,Assets!$B:$B,$A422,Assets!$R:$R,"Yes"),0))</f>
        <v/>
      </c>
      <c r="G422" s="9">
        <f>IF(OR($A422="",I422=""),"",MAX(0,(I422-J422)/IF(IFERROR(XLOOKUP($A422,RetirementPlan!$B:$B,RetirementPlan!$M:$M,""),"")="",SWR,IFERROR(XLOOKUP($A422,RetirementPlan!$B:$B,RetirementPlan!$M:$M,""),""))))</f>
        <v/>
      </c>
      <c r="H422" s="9">
        <f>IF(OR($A422="",F422="",G422=""),"",F422-G422)</f>
        <v/>
      </c>
      <c r="I422" s="9">
        <f>IF($A422="","",XLOOKUP($A422,RetirementPlan!$B:$B,RetirementPlan!$E:$E,""))</f>
        <v/>
      </c>
      <c r="J422" s="9">
        <f>IF($A422="","",N(XLOOKUP($A422,RetirementPlan!$B:$B,RetirementPlan!$G:$G,0))+N(XLOOKUP($A422,RetirementPlan!$B:$B,RetirementPlan!$H:$H,0)))</f>
        <v/>
      </c>
      <c r="K422">
        <f>IF($A422="","",IF(NOT(ISBLANK(XLOOKUP($A422,RetirementPlan!$B:$B,RetirementPlan!$N:$N,""))),XLOOKUP($A422,RetirementPlan!$B:$B,RetirementPlan!$N:$N,""),LET(cid,$A422,c,FILTER(LocationPlan!$D:$D,LocationPlan!$C:$C=cid),p,FILTER(LocationPlan!$E:$E,LocationPlan!$C:$C=cid),IFERROR(INDEX(c,MATCH(MAX(p),p,0)),""))))</f>
        <v/>
      </c>
    </row>
    <row r="423">
      <c r="B423">
        <f>IF($A423="","",XLOOKUP($A423,Clients!$A:$A,Clients!$D:$D)&amp;" "&amp;XLOOKUP($A423,Clients!$A:$A,Clients!$E:$E))</f>
        <v/>
      </c>
      <c r="C423">
        <f>IF($A423="","",DATEDIF(XLOOKUP($A423,Clients!$A:$A,Clients!$F:$F),VAL_DATE,"Y"))</f>
        <v/>
      </c>
      <c r="D423">
        <f>IF(OR($A423="",E423=""),"",E423-C423)</f>
        <v/>
      </c>
      <c r="E423">
        <f>IF($A423="","",XLOOKUP($A423,RetirementPlan!$B:$B,RetirementPlan!$C:$C,""))</f>
        <v/>
      </c>
      <c r="F423" s="9">
        <f>IF(OR($A423="",D423=""),"",FV(IF(IFERROR(XLOOKUP($A423,RetirementPlan!$B:$B,RetirementPlan!$K:$K,""),"")="",GROWTH,IFERROR(XLOOKUP($A423,RetirementPlan!$B:$B,RetirementPlan!$K:$K,""),"")),D423,-N(XLOOKUP($A423,RetirementPlan!$B:$B,RetirementPlan!$I:$I,0)),-SUMIFS(Assets!$J:$J,Assets!$B:$B,$A423,Assets!$R:$R,"Yes"),0))</f>
        <v/>
      </c>
      <c r="G423" s="9">
        <f>IF(OR($A423="",I423=""),"",MAX(0,(I423-J423)/IF(IFERROR(XLOOKUP($A423,RetirementPlan!$B:$B,RetirementPlan!$M:$M,""),"")="",SWR,IFERROR(XLOOKUP($A423,RetirementPlan!$B:$B,RetirementPlan!$M:$M,""),""))))</f>
        <v/>
      </c>
      <c r="H423" s="9">
        <f>IF(OR($A423="",F423="",G423=""),"",F423-G423)</f>
        <v/>
      </c>
      <c r="I423" s="9">
        <f>IF($A423="","",XLOOKUP($A423,RetirementPlan!$B:$B,RetirementPlan!$E:$E,""))</f>
        <v/>
      </c>
      <c r="J423" s="9">
        <f>IF($A423="","",N(XLOOKUP($A423,RetirementPlan!$B:$B,RetirementPlan!$G:$G,0))+N(XLOOKUP($A423,RetirementPlan!$B:$B,RetirementPlan!$H:$H,0)))</f>
        <v/>
      </c>
      <c r="K423">
        <f>IF($A423="","",IF(NOT(ISBLANK(XLOOKUP($A423,RetirementPlan!$B:$B,RetirementPlan!$N:$N,""))),XLOOKUP($A423,RetirementPlan!$B:$B,RetirementPlan!$N:$N,""),LET(cid,$A423,c,FILTER(LocationPlan!$D:$D,LocationPlan!$C:$C=cid),p,FILTER(LocationPlan!$E:$E,LocationPlan!$C:$C=cid),IFERROR(INDEX(c,MATCH(MAX(p),p,0)),""))))</f>
        <v/>
      </c>
    </row>
    <row r="424">
      <c r="B424">
        <f>IF($A424="","",XLOOKUP($A424,Clients!$A:$A,Clients!$D:$D)&amp;" "&amp;XLOOKUP($A424,Clients!$A:$A,Clients!$E:$E))</f>
        <v/>
      </c>
      <c r="C424">
        <f>IF($A424="","",DATEDIF(XLOOKUP($A424,Clients!$A:$A,Clients!$F:$F),VAL_DATE,"Y"))</f>
        <v/>
      </c>
      <c r="D424">
        <f>IF(OR($A424="",E424=""),"",E424-C424)</f>
        <v/>
      </c>
      <c r="E424">
        <f>IF($A424="","",XLOOKUP($A424,RetirementPlan!$B:$B,RetirementPlan!$C:$C,""))</f>
        <v/>
      </c>
      <c r="F424" s="9">
        <f>IF(OR($A424="",D424=""),"",FV(IF(IFERROR(XLOOKUP($A424,RetirementPlan!$B:$B,RetirementPlan!$K:$K,""),"")="",GROWTH,IFERROR(XLOOKUP($A424,RetirementPlan!$B:$B,RetirementPlan!$K:$K,""),"")),D424,-N(XLOOKUP($A424,RetirementPlan!$B:$B,RetirementPlan!$I:$I,0)),-SUMIFS(Assets!$J:$J,Assets!$B:$B,$A424,Assets!$R:$R,"Yes"),0))</f>
        <v/>
      </c>
      <c r="G424" s="9">
        <f>IF(OR($A424="",I424=""),"",MAX(0,(I424-J424)/IF(IFERROR(XLOOKUP($A424,RetirementPlan!$B:$B,RetirementPlan!$M:$M,""),"")="",SWR,IFERROR(XLOOKUP($A424,RetirementPlan!$B:$B,RetirementPlan!$M:$M,""),""))))</f>
        <v/>
      </c>
      <c r="H424" s="9">
        <f>IF(OR($A424="",F424="",G424=""),"",F424-G424)</f>
        <v/>
      </c>
      <c r="I424" s="9">
        <f>IF($A424="","",XLOOKUP($A424,RetirementPlan!$B:$B,RetirementPlan!$E:$E,""))</f>
        <v/>
      </c>
      <c r="J424" s="9">
        <f>IF($A424="","",N(XLOOKUP($A424,RetirementPlan!$B:$B,RetirementPlan!$G:$G,0))+N(XLOOKUP($A424,RetirementPlan!$B:$B,RetirementPlan!$H:$H,0)))</f>
        <v/>
      </c>
      <c r="K424">
        <f>IF($A424="","",IF(NOT(ISBLANK(XLOOKUP($A424,RetirementPlan!$B:$B,RetirementPlan!$N:$N,""))),XLOOKUP($A424,RetirementPlan!$B:$B,RetirementPlan!$N:$N,""),LET(cid,$A424,c,FILTER(LocationPlan!$D:$D,LocationPlan!$C:$C=cid),p,FILTER(LocationPlan!$E:$E,LocationPlan!$C:$C=cid),IFERROR(INDEX(c,MATCH(MAX(p),p,0)),""))))</f>
        <v/>
      </c>
    </row>
    <row r="425">
      <c r="B425">
        <f>IF($A425="","",XLOOKUP($A425,Clients!$A:$A,Clients!$D:$D)&amp;" "&amp;XLOOKUP($A425,Clients!$A:$A,Clients!$E:$E))</f>
        <v/>
      </c>
      <c r="C425">
        <f>IF($A425="","",DATEDIF(XLOOKUP($A425,Clients!$A:$A,Clients!$F:$F),VAL_DATE,"Y"))</f>
        <v/>
      </c>
      <c r="D425">
        <f>IF(OR($A425="",E425=""),"",E425-C425)</f>
        <v/>
      </c>
      <c r="E425">
        <f>IF($A425="","",XLOOKUP($A425,RetirementPlan!$B:$B,RetirementPlan!$C:$C,""))</f>
        <v/>
      </c>
      <c r="F425" s="9">
        <f>IF(OR($A425="",D425=""),"",FV(IF(IFERROR(XLOOKUP($A425,RetirementPlan!$B:$B,RetirementPlan!$K:$K,""),"")="",GROWTH,IFERROR(XLOOKUP($A425,RetirementPlan!$B:$B,RetirementPlan!$K:$K,""),"")),D425,-N(XLOOKUP($A425,RetirementPlan!$B:$B,RetirementPlan!$I:$I,0)),-SUMIFS(Assets!$J:$J,Assets!$B:$B,$A425,Assets!$R:$R,"Yes"),0))</f>
        <v/>
      </c>
      <c r="G425" s="9">
        <f>IF(OR($A425="",I425=""),"",MAX(0,(I425-J425)/IF(IFERROR(XLOOKUP($A425,RetirementPlan!$B:$B,RetirementPlan!$M:$M,""),"")="",SWR,IFERROR(XLOOKUP($A425,RetirementPlan!$B:$B,RetirementPlan!$M:$M,""),""))))</f>
        <v/>
      </c>
      <c r="H425" s="9">
        <f>IF(OR($A425="",F425="",G425=""),"",F425-G425)</f>
        <v/>
      </c>
      <c r="I425" s="9">
        <f>IF($A425="","",XLOOKUP($A425,RetirementPlan!$B:$B,RetirementPlan!$E:$E,""))</f>
        <v/>
      </c>
      <c r="J425" s="9">
        <f>IF($A425="","",N(XLOOKUP($A425,RetirementPlan!$B:$B,RetirementPlan!$G:$G,0))+N(XLOOKUP($A425,RetirementPlan!$B:$B,RetirementPlan!$H:$H,0)))</f>
        <v/>
      </c>
      <c r="K425">
        <f>IF($A425="","",IF(NOT(ISBLANK(XLOOKUP($A425,RetirementPlan!$B:$B,RetirementPlan!$N:$N,""))),XLOOKUP($A425,RetirementPlan!$B:$B,RetirementPlan!$N:$N,""),LET(cid,$A425,c,FILTER(LocationPlan!$D:$D,LocationPlan!$C:$C=cid),p,FILTER(LocationPlan!$E:$E,LocationPlan!$C:$C=cid),IFERROR(INDEX(c,MATCH(MAX(p),p,0)),""))))</f>
        <v/>
      </c>
    </row>
    <row r="426">
      <c r="B426">
        <f>IF($A426="","",XLOOKUP($A426,Clients!$A:$A,Clients!$D:$D)&amp;" "&amp;XLOOKUP($A426,Clients!$A:$A,Clients!$E:$E))</f>
        <v/>
      </c>
      <c r="C426">
        <f>IF($A426="","",DATEDIF(XLOOKUP($A426,Clients!$A:$A,Clients!$F:$F),VAL_DATE,"Y"))</f>
        <v/>
      </c>
      <c r="D426">
        <f>IF(OR($A426="",E426=""),"",E426-C426)</f>
        <v/>
      </c>
      <c r="E426">
        <f>IF($A426="","",XLOOKUP($A426,RetirementPlan!$B:$B,RetirementPlan!$C:$C,""))</f>
        <v/>
      </c>
      <c r="F426" s="9">
        <f>IF(OR($A426="",D426=""),"",FV(IF(IFERROR(XLOOKUP($A426,RetirementPlan!$B:$B,RetirementPlan!$K:$K,""),"")="",GROWTH,IFERROR(XLOOKUP($A426,RetirementPlan!$B:$B,RetirementPlan!$K:$K,""),"")),D426,-N(XLOOKUP($A426,RetirementPlan!$B:$B,RetirementPlan!$I:$I,0)),-SUMIFS(Assets!$J:$J,Assets!$B:$B,$A426,Assets!$R:$R,"Yes"),0))</f>
        <v/>
      </c>
      <c r="G426" s="9">
        <f>IF(OR($A426="",I426=""),"",MAX(0,(I426-J426)/IF(IFERROR(XLOOKUP($A426,RetirementPlan!$B:$B,RetirementPlan!$M:$M,""),"")="",SWR,IFERROR(XLOOKUP($A426,RetirementPlan!$B:$B,RetirementPlan!$M:$M,""),""))))</f>
        <v/>
      </c>
      <c r="H426" s="9">
        <f>IF(OR($A426="",F426="",G426=""),"",F426-G426)</f>
        <v/>
      </c>
      <c r="I426" s="9">
        <f>IF($A426="","",XLOOKUP($A426,RetirementPlan!$B:$B,RetirementPlan!$E:$E,""))</f>
        <v/>
      </c>
      <c r="J426" s="9">
        <f>IF($A426="","",N(XLOOKUP($A426,RetirementPlan!$B:$B,RetirementPlan!$G:$G,0))+N(XLOOKUP($A426,RetirementPlan!$B:$B,RetirementPlan!$H:$H,0)))</f>
        <v/>
      </c>
      <c r="K426">
        <f>IF($A426="","",IF(NOT(ISBLANK(XLOOKUP($A426,RetirementPlan!$B:$B,RetirementPlan!$N:$N,""))),XLOOKUP($A426,RetirementPlan!$B:$B,RetirementPlan!$N:$N,""),LET(cid,$A426,c,FILTER(LocationPlan!$D:$D,LocationPlan!$C:$C=cid),p,FILTER(LocationPlan!$E:$E,LocationPlan!$C:$C=cid),IFERROR(INDEX(c,MATCH(MAX(p),p,0)),""))))</f>
        <v/>
      </c>
    </row>
    <row r="427">
      <c r="B427">
        <f>IF($A427="","",XLOOKUP($A427,Clients!$A:$A,Clients!$D:$D)&amp;" "&amp;XLOOKUP($A427,Clients!$A:$A,Clients!$E:$E))</f>
        <v/>
      </c>
      <c r="C427">
        <f>IF($A427="","",DATEDIF(XLOOKUP($A427,Clients!$A:$A,Clients!$F:$F),VAL_DATE,"Y"))</f>
        <v/>
      </c>
      <c r="D427">
        <f>IF(OR($A427="",E427=""),"",E427-C427)</f>
        <v/>
      </c>
      <c r="E427">
        <f>IF($A427="","",XLOOKUP($A427,RetirementPlan!$B:$B,RetirementPlan!$C:$C,""))</f>
        <v/>
      </c>
      <c r="F427" s="9">
        <f>IF(OR($A427="",D427=""),"",FV(IF(IFERROR(XLOOKUP($A427,RetirementPlan!$B:$B,RetirementPlan!$K:$K,""),"")="",GROWTH,IFERROR(XLOOKUP($A427,RetirementPlan!$B:$B,RetirementPlan!$K:$K,""),"")),D427,-N(XLOOKUP($A427,RetirementPlan!$B:$B,RetirementPlan!$I:$I,0)),-SUMIFS(Assets!$J:$J,Assets!$B:$B,$A427,Assets!$R:$R,"Yes"),0))</f>
        <v/>
      </c>
      <c r="G427" s="9">
        <f>IF(OR($A427="",I427=""),"",MAX(0,(I427-J427)/IF(IFERROR(XLOOKUP($A427,RetirementPlan!$B:$B,RetirementPlan!$M:$M,""),"")="",SWR,IFERROR(XLOOKUP($A427,RetirementPlan!$B:$B,RetirementPlan!$M:$M,""),""))))</f>
        <v/>
      </c>
      <c r="H427" s="9">
        <f>IF(OR($A427="",F427="",G427=""),"",F427-G427)</f>
        <v/>
      </c>
      <c r="I427" s="9">
        <f>IF($A427="","",XLOOKUP($A427,RetirementPlan!$B:$B,RetirementPlan!$E:$E,""))</f>
        <v/>
      </c>
      <c r="J427" s="9">
        <f>IF($A427="","",N(XLOOKUP($A427,RetirementPlan!$B:$B,RetirementPlan!$G:$G,0))+N(XLOOKUP($A427,RetirementPlan!$B:$B,RetirementPlan!$H:$H,0)))</f>
        <v/>
      </c>
      <c r="K427">
        <f>IF($A427="","",IF(NOT(ISBLANK(XLOOKUP($A427,RetirementPlan!$B:$B,RetirementPlan!$N:$N,""))),XLOOKUP($A427,RetirementPlan!$B:$B,RetirementPlan!$N:$N,""),LET(cid,$A427,c,FILTER(LocationPlan!$D:$D,LocationPlan!$C:$C=cid),p,FILTER(LocationPlan!$E:$E,LocationPlan!$C:$C=cid),IFERROR(INDEX(c,MATCH(MAX(p),p,0)),""))))</f>
        <v/>
      </c>
    </row>
    <row r="428">
      <c r="B428">
        <f>IF($A428="","",XLOOKUP($A428,Clients!$A:$A,Clients!$D:$D)&amp;" "&amp;XLOOKUP($A428,Clients!$A:$A,Clients!$E:$E))</f>
        <v/>
      </c>
      <c r="C428">
        <f>IF($A428="","",DATEDIF(XLOOKUP($A428,Clients!$A:$A,Clients!$F:$F),VAL_DATE,"Y"))</f>
        <v/>
      </c>
      <c r="D428">
        <f>IF(OR($A428="",E428=""),"",E428-C428)</f>
        <v/>
      </c>
      <c r="E428">
        <f>IF($A428="","",XLOOKUP($A428,RetirementPlan!$B:$B,RetirementPlan!$C:$C,""))</f>
        <v/>
      </c>
      <c r="F428" s="9">
        <f>IF(OR($A428="",D428=""),"",FV(IF(IFERROR(XLOOKUP($A428,RetirementPlan!$B:$B,RetirementPlan!$K:$K,""),"")="",GROWTH,IFERROR(XLOOKUP($A428,RetirementPlan!$B:$B,RetirementPlan!$K:$K,""),"")),D428,-N(XLOOKUP($A428,RetirementPlan!$B:$B,RetirementPlan!$I:$I,0)),-SUMIFS(Assets!$J:$J,Assets!$B:$B,$A428,Assets!$R:$R,"Yes"),0))</f>
        <v/>
      </c>
      <c r="G428" s="9">
        <f>IF(OR($A428="",I428=""),"",MAX(0,(I428-J428)/IF(IFERROR(XLOOKUP($A428,RetirementPlan!$B:$B,RetirementPlan!$M:$M,""),"")="",SWR,IFERROR(XLOOKUP($A428,RetirementPlan!$B:$B,RetirementPlan!$M:$M,""),""))))</f>
        <v/>
      </c>
      <c r="H428" s="9">
        <f>IF(OR($A428="",F428="",G428=""),"",F428-G428)</f>
        <v/>
      </c>
      <c r="I428" s="9">
        <f>IF($A428="","",XLOOKUP($A428,RetirementPlan!$B:$B,RetirementPlan!$E:$E,""))</f>
        <v/>
      </c>
      <c r="J428" s="9">
        <f>IF($A428="","",N(XLOOKUP($A428,RetirementPlan!$B:$B,RetirementPlan!$G:$G,0))+N(XLOOKUP($A428,RetirementPlan!$B:$B,RetirementPlan!$H:$H,0)))</f>
        <v/>
      </c>
      <c r="K428">
        <f>IF($A428="","",IF(NOT(ISBLANK(XLOOKUP($A428,RetirementPlan!$B:$B,RetirementPlan!$N:$N,""))),XLOOKUP($A428,RetirementPlan!$B:$B,RetirementPlan!$N:$N,""),LET(cid,$A428,c,FILTER(LocationPlan!$D:$D,LocationPlan!$C:$C=cid),p,FILTER(LocationPlan!$E:$E,LocationPlan!$C:$C=cid),IFERROR(INDEX(c,MATCH(MAX(p),p,0)),""))))</f>
        <v/>
      </c>
    </row>
    <row r="429">
      <c r="B429">
        <f>IF($A429="","",XLOOKUP($A429,Clients!$A:$A,Clients!$D:$D)&amp;" "&amp;XLOOKUP($A429,Clients!$A:$A,Clients!$E:$E))</f>
        <v/>
      </c>
      <c r="C429">
        <f>IF($A429="","",DATEDIF(XLOOKUP($A429,Clients!$A:$A,Clients!$F:$F),VAL_DATE,"Y"))</f>
        <v/>
      </c>
      <c r="D429">
        <f>IF(OR($A429="",E429=""),"",E429-C429)</f>
        <v/>
      </c>
      <c r="E429">
        <f>IF($A429="","",XLOOKUP($A429,RetirementPlan!$B:$B,RetirementPlan!$C:$C,""))</f>
        <v/>
      </c>
      <c r="F429" s="9">
        <f>IF(OR($A429="",D429=""),"",FV(IF(IFERROR(XLOOKUP($A429,RetirementPlan!$B:$B,RetirementPlan!$K:$K,""),"")="",GROWTH,IFERROR(XLOOKUP($A429,RetirementPlan!$B:$B,RetirementPlan!$K:$K,""),"")),D429,-N(XLOOKUP($A429,RetirementPlan!$B:$B,RetirementPlan!$I:$I,0)),-SUMIFS(Assets!$J:$J,Assets!$B:$B,$A429,Assets!$R:$R,"Yes"),0))</f>
        <v/>
      </c>
      <c r="G429" s="9">
        <f>IF(OR($A429="",I429=""),"",MAX(0,(I429-J429)/IF(IFERROR(XLOOKUP($A429,RetirementPlan!$B:$B,RetirementPlan!$M:$M,""),"")="",SWR,IFERROR(XLOOKUP($A429,RetirementPlan!$B:$B,RetirementPlan!$M:$M,""),""))))</f>
        <v/>
      </c>
      <c r="H429" s="9">
        <f>IF(OR($A429="",F429="",G429=""),"",F429-G429)</f>
        <v/>
      </c>
      <c r="I429" s="9">
        <f>IF($A429="","",XLOOKUP($A429,RetirementPlan!$B:$B,RetirementPlan!$E:$E,""))</f>
        <v/>
      </c>
      <c r="J429" s="9">
        <f>IF($A429="","",N(XLOOKUP($A429,RetirementPlan!$B:$B,RetirementPlan!$G:$G,0))+N(XLOOKUP($A429,RetirementPlan!$B:$B,RetirementPlan!$H:$H,0)))</f>
        <v/>
      </c>
      <c r="K429">
        <f>IF($A429="","",IF(NOT(ISBLANK(XLOOKUP($A429,RetirementPlan!$B:$B,RetirementPlan!$N:$N,""))),XLOOKUP($A429,RetirementPlan!$B:$B,RetirementPlan!$N:$N,""),LET(cid,$A429,c,FILTER(LocationPlan!$D:$D,LocationPlan!$C:$C=cid),p,FILTER(LocationPlan!$E:$E,LocationPlan!$C:$C=cid),IFERROR(INDEX(c,MATCH(MAX(p),p,0)),""))))</f>
        <v/>
      </c>
    </row>
    <row r="430">
      <c r="B430">
        <f>IF($A430="","",XLOOKUP($A430,Clients!$A:$A,Clients!$D:$D)&amp;" "&amp;XLOOKUP($A430,Clients!$A:$A,Clients!$E:$E))</f>
        <v/>
      </c>
      <c r="C430">
        <f>IF($A430="","",DATEDIF(XLOOKUP($A430,Clients!$A:$A,Clients!$F:$F),VAL_DATE,"Y"))</f>
        <v/>
      </c>
      <c r="D430">
        <f>IF(OR($A430="",E430=""),"",E430-C430)</f>
        <v/>
      </c>
      <c r="E430">
        <f>IF($A430="","",XLOOKUP($A430,RetirementPlan!$B:$B,RetirementPlan!$C:$C,""))</f>
        <v/>
      </c>
      <c r="F430" s="9">
        <f>IF(OR($A430="",D430=""),"",FV(IF(IFERROR(XLOOKUP($A430,RetirementPlan!$B:$B,RetirementPlan!$K:$K,""),"")="",GROWTH,IFERROR(XLOOKUP($A430,RetirementPlan!$B:$B,RetirementPlan!$K:$K,""),"")),D430,-N(XLOOKUP($A430,RetirementPlan!$B:$B,RetirementPlan!$I:$I,0)),-SUMIFS(Assets!$J:$J,Assets!$B:$B,$A430,Assets!$R:$R,"Yes"),0))</f>
        <v/>
      </c>
      <c r="G430" s="9">
        <f>IF(OR($A430="",I430=""),"",MAX(0,(I430-J430)/IF(IFERROR(XLOOKUP($A430,RetirementPlan!$B:$B,RetirementPlan!$M:$M,""),"")="",SWR,IFERROR(XLOOKUP($A430,RetirementPlan!$B:$B,RetirementPlan!$M:$M,""),""))))</f>
        <v/>
      </c>
      <c r="H430" s="9">
        <f>IF(OR($A430="",F430="",G430=""),"",F430-G430)</f>
        <v/>
      </c>
      <c r="I430" s="9">
        <f>IF($A430="","",XLOOKUP($A430,RetirementPlan!$B:$B,RetirementPlan!$E:$E,""))</f>
        <v/>
      </c>
      <c r="J430" s="9">
        <f>IF($A430="","",N(XLOOKUP($A430,RetirementPlan!$B:$B,RetirementPlan!$G:$G,0))+N(XLOOKUP($A430,RetirementPlan!$B:$B,RetirementPlan!$H:$H,0)))</f>
        <v/>
      </c>
      <c r="K430">
        <f>IF($A430="","",IF(NOT(ISBLANK(XLOOKUP($A430,RetirementPlan!$B:$B,RetirementPlan!$N:$N,""))),XLOOKUP($A430,RetirementPlan!$B:$B,RetirementPlan!$N:$N,""),LET(cid,$A430,c,FILTER(LocationPlan!$D:$D,LocationPlan!$C:$C=cid),p,FILTER(LocationPlan!$E:$E,LocationPlan!$C:$C=cid),IFERROR(INDEX(c,MATCH(MAX(p),p,0)),""))))</f>
        <v/>
      </c>
    </row>
    <row r="431">
      <c r="B431">
        <f>IF($A431="","",XLOOKUP($A431,Clients!$A:$A,Clients!$D:$D)&amp;" "&amp;XLOOKUP($A431,Clients!$A:$A,Clients!$E:$E))</f>
        <v/>
      </c>
      <c r="C431">
        <f>IF($A431="","",DATEDIF(XLOOKUP($A431,Clients!$A:$A,Clients!$F:$F),VAL_DATE,"Y"))</f>
        <v/>
      </c>
      <c r="D431">
        <f>IF(OR($A431="",E431=""),"",E431-C431)</f>
        <v/>
      </c>
      <c r="E431">
        <f>IF($A431="","",XLOOKUP($A431,RetirementPlan!$B:$B,RetirementPlan!$C:$C,""))</f>
        <v/>
      </c>
      <c r="F431" s="9">
        <f>IF(OR($A431="",D431=""),"",FV(IF(IFERROR(XLOOKUP($A431,RetirementPlan!$B:$B,RetirementPlan!$K:$K,""),"")="",GROWTH,IFERROR(XLOOKUP($A431,RetirementPlan!$B:$B,RetirementPlan!$K:$K,""),"")),D431,-N(XLOOKUP($A431,RetirementPlan!$B:$B,RetirementPlan!$I:$I,0)),-SUMIFS(Assets!$J:$J,Assets!$B:$B,$A431,Assets!$R:$R,"Yes"),0))</f>
        <v/>
      </c>
      <c r="G431" s="9">
        <f>IF(OR($A431="",I431=""),"",MAX(0,(I431-J431)/IF(IFERROR(XLOOKUP($A431,RetirementPlan!$B:$B,RetirementPlan!$M:$M,""),"")="",SWR,IFERROR(XLOOKUP($A431,RetirementPlan!$B:$B,RetirementPlan!$M:$M,""),""))))</f>
        <v/>
      </c>
      <c r="H431" s="9">
        <f>IF(OR($A431="",F431="",G431=""),"",F431-G431)</f>
        <v/>
      </c>
      <c r="I431" s="9">
        <f>IF($A431="","",XLOOKUP($A431,RetirementPlan!$B:$B,RetirementPlan!$E:$E,""))</f>
        <v/>
      </c>
      <c r="J431" s="9">
        <f>IF($A431="","",N(XLOOKUP($A431,RetirementPlan!$B:$B,RetirementPlan!$G:$G,0))+N(XLOOKUP($A431,RetirementPlan!$B:$B,RetirementPlan!$H:$H,0)))</f>
        <v/>
      </c>
      <c r="K431">
        <f>IF($A431="","",IF(NOT(ISBLANK(XLOOKUP($A431,RetirementPlan!$B:$B,RetirementPlan!$N:$N,""))),XLOOKUP($A431,RetirementPlan!$B:$B,RetirementPlan!$N:$N,""),LET(cid,$A431,c,FILTER(LocationPlan!$D:$D,LocationPlan!$C:$C=cid),p,FILTER(LocationPlan!$E:$E,LocationPlan!$C:$C=cid),IFERROR(INDEX(c,MATCH(MAX(p),p,0)),""))))</f>
        <v/>
      </c>
    </row>
    <row r="432">
      <c r="B432">
        <f>IF($A432="","",XLOOKUP($A432,Clients!$A:$A,Clients!$D:$D)&amp;" "&amp;XLOOKUP($A432,Clients!$A:$A,Clients!$E:$E))</f>
        <v/>
      </c>
      <c r="C432">
        <f>IF($A432="","",DATEDIF(XLOOKUP($A432,Clients!$A:$A,Clients!$F:$F),VAL_DATE,"Y"))</f>
        <v/>
      </c>
      <c r="D432">
        <f>IF(OR($A432="",E432=""),"",E432-C432)</f>
        <v/>
      </c>
      <c r="E432">
        <f>IF($A432="","",XLOOKUP($A432,RetirementPlan!$B:$B,RetirementPlan!$C:$C,""))</f>
        <v/>
      </c>
      <c r="F432" s="9">
        <f>IF(OR($A432="",D432=""),"",FV(IF(IFERROR(XLOOKUP($A432,RetirementPlan!$B:$B,RetirementPlan!$K:$K,""),"")="",GROWTH,IFERROR(XLOOKUP($A432,RetirementPlan!$B:$B,RetirementPlan!$K:$K,""),"")),D432,-N(XLOOKUP($A432,RetirementPlan!$B:$B,RetirementPlan!$I:$I,0)),-SUMIFS(Assets!$J:$J,Assets!$B:$B,$A432,Assets!$R:$R,"Yes"),0))</f>
        <v/>
      </c>
      <c r="G432" s="9">
        <f>IF(OR($A432="",I432=""),"",MAX(0,(I432-J432)/IF(IFERROR(XLOOKUP($A432,RetirementPlan!$B:$B,RetirementPlan!$M:$M,""),"")="",SWR,IFERROR(XLOOKUP($A432,RetirementPlan!$B:$B,RetirementPlan!$M:$M,""),""))))</f>
        <v/>
      </c>
      <c r="H432" s="9">
        <f>IF(OR($A432="",F432="",G432=""),"",F432-G432)</f>
        <v/>
      </c>
      <c r="I432" s="9">
        <f>IF($A432="","",XLOOKUP($A432,RetirementPlan!$B:$B,RetirementPlan!$E:$E,""))</f>
        <v/>
      </c>
      <c r="J432" s="9">
        <f>IF($A432="","",N(XLOOKUP($A432,RetirementPlan!$B:$B,RetirementPlan!$G:$G,0))+N(XLOOKUP($A432,RetirementPlan!$B:$B,RetirementPlan!$H:$H,0)))</f>
        <v/>
      </c>
      <c r="K432">
        <f>IF($A432="","",IF(NOT(ISBLANK(XLOOKUP($A432,RetirementPlan!$B:$B,RetirementPlan!$N:$N,""))),XLOOKUP($A432,RetirementPlan!$B:$B,RetirementPlan!$N:$N,""),LET(cid,$A432,c,FILTER(LocationPlan!$D:$D,LocationPlan!$C:$C=cid),p,FILTER(LocationPlan!$E:$E,LocationPlan!$C:$C=cid),IFERROR(INDEX(c,MATCH(MAX(p),p,0)),""))))</f>
        <v/>
      </c>
    </row>
    <row r="433">
      <c r="B433">
        <f>IF($A433="","",XLOOKUP($A433,Clients!$A:$A,Clients!$D:$D)&amp;" "&amp;XLOOKUP($A433,Clients!$A:$A,Clients!$E:$E))</f>
        <v/>
      </c>
      <c r="C433">
        <f>IF($A433="","",DATEDIF(XLOOKUP($A433,Clients!$A:$A,Clients!$F:$F),VAL_DATE,"Y"))</f>
        <v/>
      </c>
      <c r="D433">
        <f>IF(OR($A433="",E433=""),"",E433-C433)</f>
        <v/>
      </c>
      <c r="E433">
        <f>IF($A433="","",XLOOKUP($A433,RetirementPlan!$B:$B,RetirementPlan!$C:$C,""))</f>
        <v/>
      </c>
      <c r="F433" s="9">
        <f>IF(OR($A433="",D433=""),"",FV(IF(IFERROR(XLOOKUP($A433,RetirementPlan!$B:$B,RetirementPlan!$K:$K,""),"")="",GROWTH,IFERROR(XLOOKUP($A433,RetirementPlan!$B:$B,RetirementPlan!$K:$K,""),"")),D433,-N(XLOOKUP($A433,RetirementPlan!$B:$B,RetirementPlan!$I:$I,0)),-SUMIFS(Assets!$J:$J,Assets!$B:$B,$A433,Assets!$R:$R,"Yes"),0))</f>
        <v/>
      </c>
      <c r="G433" s="9">
        <f>IF(OR($A433="",I433=""),"",MAX(0,(I433-J433)/IF(IFERROR(XLOOKUP($A433,RetirementPlan!$B:$B,RetirementPlan!$M:$M,""),"")="",SWR,IFERROR(XLOOKUP($A433,RetirementPlan!$B:$B,RetirementPlan!$M:$M,""),""))))</f>
        <v/>
      </c>
      <c r="H433" s="9">
        <f>IF(OR($A433="",F433="",G433=""),"",F433-G433)</f>
        <v/>
      </c>
      <c r="I433" s="9">
        <f>IF($A433="","",XLOOKUP($A433,RetirementPlan!$B:$B,RetirementPlan!$E:$E,""))</f>
        <v/>
      </c>
      <c r="J433" s="9">
        <f>IF($A433="","",N(XLOOKUP($A433,RetirementPlan!$B:$B,RetirementPlan!$G:$G,0))+N(XLOOKUP($A433,RetirementPlan!$B:$B,RetirementPlan!$H:$H,0)))</f>
        <v/>
      </c>
      <c r="K433">
        <f>IF($A433="","",IF(NOT(ISBLANK(XLOOKUP($A433,RetirementPlan!$B:$B,RetirementPlan!$N:$N,""))),XLOOKUP($A433,RetirementPlan!$B:$B,RetirementPlan!$N:$N,""),LET(cid,$A433,c,FILTER(LocationPlan!$D:$D,LocationPlan!$C:$C=cid),p,FILTER(LocationPlan!$E:$E,LocationPlan!$C:$C=cid),IFERROR(INDEX(c,MATCH(MAX(p),p,0)),""))))</f>
        <v/>
      </c>
    </row>
    <row r="434">
      <c r="B434">
        <f>IF($A434="","",XLOOKUP($A434,Clients!$A:$A,Clients!$D:$D)&amp;" "&amp;XLOOKUP($A434,Clients!$A:$A,Clients!$E:$E))</f>
        <v/>
      </c>
      <c r="C434">
        <f>IF($A434="","",DATEDIF(XLOOKUP($A434,Clients!$A:$A,Clients!$F:$F),VAL_DATE,"Y"))</f>
        <v/>
      </c>
      <c r="D434">
        <f>IF(OR($A434="",E434=""),"",E434-C434)</f>
        <v/>
      </c>
      <c r="E434">
        <f>IF($A434="","",XLOOKUP($A434,RetirementPlan!$B:$B,RetirementPlan!$C:$C,""))</f>
        <v/>
      </c>
      <c r="F434" s="9">
        <f>IF(OR($A434="",D434=""),"",FV(IF(IFERROR(XLOOKUP($A434,RetirementPlan!$B:$B,RetirementPlan!$K:$K,""),"")="",GROWTH,IFERROR(XLOOKUP($A434,RetirementPlan!$B:$B,RetirementPlan!$K:$K,""),"")),D434,-N(XLOOKUP($A434,RetirementPlan!$B:$B,RetirementPlan!$I:$I,0)),-SUMIFS(Assets!$J:$J,Assets!$B:$B,$A434,Assets!$R:$R,"Yes"),0))</f>
        <v/>
      </c>
      <c r="G434" s="9">
        <f>IF(OR($A434="",I434=""),"",MAX(0,(I434-J434)/IF(IFERROR(XLOOKUP($A434,RetirementPlan!$B:$B,RetirementPlan!$M:$M,""),"")="",SWR,IFERROR(XLOOKUP($A434,RetirementPlan!$B:$B,RetirementPlan!$M:$M,""),""))))</f>
        <v/>
      </c>
      <c r="H434" s="9">
        <f>IF(OR($A434="",F434="",G434=""),"",F434-G434)</f>
        <v/>
      </c>
      <c r="I434" s="9">
        <f>IF($A434="","",XLOOKUP($A434,RetirementPlan!$B:$B,RetirementPlan!$E:$E,""))</f>
        <v/>
      </c>
      <c r="J434" s="9">
        <f>IF($A434="","",N(XLOOKUP($A434,RetirementPlan!$B:$B,RetirementPlan!$G:$G,0))+N(XLOOKUP($A434,RetirementPlan!$B:$B,RetirementPlan!$H:$H,0)))</f>
        <v/>
      </c>
      <c r="K434">
        <f>IF($A434="","",IF(NOT(ISBLANK(XLOOKUP($A434,RetirementPlan!$B:$B,RetirementPlan!$N:$N,""))),XLOOKUP($A434,RetirementPlan!$B:$B,RetirementPlan!$N:$N,""),LET(cid,$A434,c,FILTER(LocationPlan!$D:$D,LocationPlan!$C:$C=cid),p,FILTER(LocationPlan!$E:$E,LocationPlan!$C:$C=cid),IFERROR(INDEX(c,MATCH(MAX(p),p,0)),""))))</f>
        <v/>
      </c>
    </row>
    <row r="435">
      <c r="B435">
        <f>IF($A435="","",XLOOKUP($A435,Clients!$A:$A,Clients!$D:$D)&amp;" "&amp;XLOOKUP($A435,Clients!$A:$A,Clients!$E:$E))</f>
        <v/>
      </c>
      <c r="C435">
        <f>IF($A435="","",DATEDIF(XLOOKUP($A435,Clients!$A:$A,Clients!$F:$F),VAL_DATE,"Y"))</f>
        <v/>
      </c>
      <c r="D435">
        <f>IF(OR($A435="",E435=""),"",E435-C435)</f>
        <v/>
      </c>
      <c r="E435">
        <f>IF($A435="","",XLOOKUP($A435,RetirementPlan!$B:$B,RetirementPlan!$C:$C,""))</f>
        <v/>
      </c>
      <c r="F435" s="9">
        <f>IF(OR($A435="",D435=""),"",FV(IF(IFERROR(XLOOKUP($A435,RetirementPlan!$B:$B,RetirementPlan!$K:$K,""),"")="",GROWTH,IFERROR(XLOOKUP($A435,RetirementPlan!$B:$B,RetirementPlan!$K:$K,""),"")),D435,-N(XLOOKUP($A435,RetirementPlan!$B:$B,RetirementPlan!$I:$I,0)),-SUMIFS(Assets!$J:$J,Assets!$B:$B,$A435,Assets!$R:$R,"Yes"),0))</f>
        <v/>
      </c>
      <c r="G435" s="9">
        <f>IF(OR($A435="",I435=""),"",MAX(0,(I435-J435)/IF(IFERROR(XLOOKUP($A435,RetirementPlan!$B:$B,RetirementPlan!$M:$M,""),"")="",SWR,IFERROR(XLOOKUP($A435,RetirementPlan!$B:$B,RetirementPlan!$M:$M,""),""))))</f>
        <v/>
      </c>
      <c r="H435" s="9">
        <f>IF(OR($A435="",F435="",G435=""),"",F435-G435)</f>
        <v/>
      </c>
      <c r="I435" s="9">
        <f>IF($A435="","",XLOOKUP($A435,RetirementPlan!$B:$B,RetirementPlan!$E:$E,""))</f>
        <v/>
      </c>
      <c r="J435" s="9">
        <f>IF($A435="","",N(XLOOKUP($A435,RetirementPlan!$B:$B,RetirementPlan!$G:$G,0))+N(XLOOKUP($A435,RetirementPlan!$B:$B,RetirementPlan!$H:$H,0)))</f>
        <v/>
      </c>
      <c r="K435">
        <f>IF($A435="","",IF(NOT(ISBLANK(XLOOKUP($A435,RetirementPlan!$B:$B,RetirementPlan!$N:$N,""))),XLOOKUP($A435,RetirementPlan!$B:$B,RetirementPlan!$N:$N,""),LET(cid,$A435,c,FILTER(LocationPlan!$D:$D,LocationPlan!$C:$C=cid),p,FILTER(LocationPlan!$E:$E,LocationPlan!$C:$C=cid),IFERROR(INDEX(c,MATCH(MAX(p),p,0)),""))))</f>
        <v/>
      </c>
    </row>
    <row r="436">
      <c r="B436">
        <f>IF($A436="","",XLOOKUP($A436,Clients!$A:$A,Clients!$D:$D)&amp;" "&amp;XLOOKUP($A436,Clients!$A:$A,Clients!$E:$E))</f>
        <v/>
      </c>
      <c r="C436">
        <f>IF($A436="","",DATEDIF(XLOOKUP($A436,Clients!$A:$A,Clients!$F:$F),VAL_DATE,"Y"))</f>
        <v/>
      </c>
      <c r="D436">
        <f>IF(OR($A436="",E436=""),"",E436-C436)</f>
        <v/>
      </c>
      <c r="E436">
        <f>IF($A436="","",XLOOKUP($A436,RetirementPlan!$B:$B,RetirementPlan!$C:$C,""))</f>
        <v/>
      </c>
      <c r="F436" s="9">
        <f>IF(OR($A436="",D436=""),"",FV(IF(IFERROR(XLOOKUP($A436,RetirementPlan!$B:$B,RetirementPlan!$K:$K,""),"")="",GROWTH,IFERROR(XLOOKUP($A436,RetirementPlan!$B:$B,RetirementPlan!$K:$K,""),"")),D436,-N(XLOOKUP($A436,RetirementPlan!$B:$B,RetirementPlan!$I:$I,0)),-SUMIFS(Assets!$J:$J,Assets!$B:$B,$A436,Assets!$R:$R,"Yes"),0))</f>
        <v/>
      </c>
      <c r="G436" s="9">
        <f>IF(OR($A436="",I436=""),"",MAX(0,(I436-J436)/IF(IFERROR(XLOOKUP($A436,RetirementPlan!$B:$B,RetirementPlan!$M:$M,""),"")="",SWR,IFERROR(XLOOKUP($A436,RetirementPlan!$B:$B,RetirementPlan!$M:$M,""),""))))</f>
        <v/>
      </c>
      <c r="H436" s="9">
        <f>IF(OR($A436="",F436="",G436=""),"",F436-G436)</f>
        <v/>
      </c>
      <c r="I436" s="9">
        <f>IF($A436="","",XLOOKUP($A436,RetirementPlan!$B:$B,RetirementPlan!$E:$E,""))</f>
        <v/>
      </c>
      <c r="J436" s="9">
        <f>IF($A436="","",N(XLOOKUP($A436,RetirementPlan!$B:$B,RetirementPlan!$G:$G,0))+N(XLOOKUP($A436,RetirementPlan!$B:$B,RetirementPlan!$H:$H,0)))</f>
        <v/>
      </c>
      <c r="K436">
        <f>IF($A436="","",IF(NOT(ISBLANK(XLOOKUP($A436,RetirementPlan!$B:$B,RetirementPlan!$N:$N,""))),XLOOKUP($A436,RetirementPlan!$B:$B,RetirementPlan!$N:$N,""),LET(cid,$A436,c,FILTER(LocationPlan!$D:$D,LocationPlan!$C:$C=cid),p,FILTER(LocationPlan!$E:$E,LocationPlan!$C:$C=cid),IFERROR(INDEX(c,MATCH(MAX(p),p,0)),""))))</f>
        <v/>
      </c>
    </row>
    <row r="437">
      <c r="B437">
        <f>IF($A437="","",XLOOKUP($A437,Clients!$A:$A,Clients!$D:$D)&amp;" "&amp;XLOOKUP($A437,Clients!$A:$A,Clients!$E:$E))</f>
        <v/>
      </c>
      <c r="C437">
        <f>IF($A437="","",DATEDIF(XLOOKUP($A437,Clients!$A:$A,Clients!$F:$F),VAL_DATE,"Y"))</f>
        <v/>
      </c>
      <c r="D437">
        <f>IF(OR($A437="",E437=""),"",E437-C437)</f>
        <v/>
      </c>
      <c r="E437">
        <f>IF($A437="","",XLOOKUP($A437,RetirementPlan!$B:$B,RetirementPlan!$C:$C,""))</f>
        <v/>
      </c>
      <c r="F437" s="9">
        <f>IF(OR($A437="",D437=""),"",FV(IF(IFERROR(XLOOKUP($A437,RetirementPlan!$B:$B,RetirementPlan!$K:$K,""),"")="",GROWTH,IFERROR(XLOOKUP($A437,RetirementPlan!$B:$B,RetirementPlan!$K:$K,""),"")),D437,-N(XLOOKUP($A437,RetirementPlan!$B:$B,RetirementPlan!$I:$I,0)),-SUMIFS(Assets!$J:$J,Assets!$B:$B,$A437,Assets!$R:$R,"Yes"),0))</f>
        <v/>
      </c>
      <c r="G437" s="9">
        <f>IF(OR($A437="",I437=""),"",MAX(0,(I437-J437)/IF(IFERROR(XLOOKUP($A437,RetirementPlan!$B:$B,RetirementPlan!$M:$M,""),"")="",SWR,IFERROR(XLOOKUP($A437,RetirementPlan!$B:$B,RetirementPlan!$M:$M,""),""))))</f>
        <v/>
      </c>
      <c r="H437" s="9">
        <f>IF(OR($A437="",F437="",G437=""),"",F437-G437)</f>
        <v/>
      </c>
      <c r="I437" s="9">
        <f>IF($A437="","",XLOOKUP($A437,RetirementPlan!$B:$B,RetirementPlan!$E:$E,""))</f>
        <v/>
      </c>
      <c r="J437" s="9">
        <f>IF($A437="","",N(XLOOKUP($A437,RetirementPlan!$B:$B,RetirementPlan!$G:$G,0))+N(XLOOKUP($A437,RetirementPlan!$B:$B,RetirementPlan!$H:$H,0)))</f>
        <v/>
      </c>
      <c r="K437">
        <f>IF($A437="","",IF(NOT(ISBLANK(XLOOKUP($A437,RetirementPlan!$B:$B,RetirementPlan!$N:$N,""))),XLOOKUP($A437,RetirementPlan!$B:$B,RetirementPlan!$N:$N,""),LET(cid,$A437,c,FILTER(LocationPlan!$D:$D,LocationPlan!$C:$C=cid),p,FILTER(LocationPlan!$E:$E,LocationPlan!$C:$C=cid),IFERROR(INDEX(c,MATCH(MAX(p),p,0)),""))))</f>
        <v/>
      </c>
    </row>
    <row r="438">
      <c r="B438">
        <f>IF($A438="","",XLOOKUP($A438,Clients!$A:$A,Clients!$D:$D)&amp;" "&amp;XLOOKUP($A438,Clients!$A:$A,Clients!$E:$E))</f>
        <v/>
      </c>
      <c r="C438">
        <f>IF($A438="","",DATEDIF(XLOOKUP($A438,Clients!$A:$A,Clients!$F:$F),VAL_DATE,"Y"))</f>
        <v/>
      </c>
      <c r="D438">
        <f>IF(OR($A438="",E438=""),"",E438-C438)</f>
        <v/>
      </c>
      <c r="E438">
        <f>IF($A438="","",XLOOKUP($A438,RetirementPlan!$B:$B,RetirementPlan!$C:$C,""))</f>
        <v/>
      </c>
      <c r="F438" s="9">
        <f>IF(OR($A438="",D438=""),"",FV(IF(IFERROR(XLOOKUP($A438,RetirementPlan!$B:$B,RetirementPlan!$K:$K,""),"")="",GROWTH,IFERROR(XLOOKUP($A438,RetirementPlan!$B:$B,RetirementPlan!$K:$K,""),"")),D438,-N(XLOOKUP($A438,RetirementPlan!$B:$B,RetirementPlan!$I:$I,0)),-SUMIFS(Assets!$J:$J,Assets!$B:$B,$A438,Assets!$R:$R,"Yes"),0))</f>
        <v/>
      </c>
      <c r="G438" s="9">
        <f>IF(OR($A438="",I438=""),"",MAX(0,(I438-J438)/IF(IFERROR(XLOOKUP($A438,RetirementPlan!$B:$B,RetirementPlan!$M:$M,""),"")="",SWR,IFERROR(XLOOKUP($A438,RetirementPlan!$B:$B,RetirementPlan!$M:$M,""),""))))</f>
        <v/>
      </c>
      <c r="H438" s="9">
        <f>IF(OR($A438="",F438="",G438=""),"",F438-G438)</f>
        <v/>
      </c>
      <c r="I438" s="9">
        <f>IF($A438="","",XLOOKUP($A438,RetirementPlan!$B:$B,RetirementPlan!$E:$E,""))</f>
        <v/>
      </c>
      <c r="J438" s="9">
        <f>IF($A438="","",N(XLOOKUP($A438,RetirementPlan!$B:$B,RetirementPlan!$G:$G,0))+N(XLOOKUP($A438,RetirementPlan!$B:$B,RetirementPlan!$H:$H,0)))</f>
        <v/>
      </c>
      <c r="K438">
        <f>IF($A438="","",IF(NOT(ISBLANK(XLOOKUP($A438,RetirementPlan!$B:$B,RetirementPlan!$N:$N,""))),XLOOKUP($A438,RetirementPlan!$B:$B,RetirementPlan!$N:$N,""),LET(cid,$A438,c,FILTER(LocationPlan!$D:$D,LocationPlan!$C:$C=cid),p,FILTER(LocationPlan!$E:$E,LocationPlan!$C:$C=cid),IFERROR(INDEX(c,MATCH(MAX(p),p,0)),""))))</f>
        <v/>
      </c>
    </row>
    <row r="439">
      <c r="B439">
        <f>IF($A439="","",XLOOKUP($A439,Clients!$A:$A,Clients!$D:$D)&amp;" "&amp;XLOOKUP($A439,Clients!$A:$A,Clients!$E:$E))</f>
        <v/>
      </c>
      <c r="C439">
        <f>IF($A439="","",DATEDIF(XLOOKUP($A439,Clients!$A:$A,Clients!$F:$F),VAL_DATE,"Y"))</f>
        <v/>
      </c>
      <c r="D439">
        <f>IF(OR($A439="",E439=""),"",E439-C439)</f>
        <v/>
      </c>
      <c r="E439">
        <f>IF($A439="","",XLOOKUP($A439,RetirementPlan!$B:$B,RetirementPlan!$C:$C,""))</f>
        <v/>
      </c>
      <c r="F439" s="9">
        <f>IF(OR($A439="",D439=""),"",FV(IF(IFERROR(XLOOKUP($A439,RetirementPlan!$B:$B,RetirementPlan!$K:$K,""),"")="",GROWTH,IFERROR(XLOOKUP($A439,RetirementPlan!$B:$B,RetirementPlan!$K:$K,""),"")),D439,-N(XLOOKUP($A439,RetirementPlan!$B:$B,RetirementPlan!$I:$I,0)),-SUMIFS(Assets!$J:$J,Assets!$B:$B,$A439,Assets!$R:$R,"Yes"),0))</f>
        <v/>
      </c>
      <c r="G439" s="9">
        <f>IF(OR($A439="",I439=""),"",MAX(0,(I439-J439)/IF(IFERROR(XLOOKUP($A439,RetirementPlan!$B:$B,RetirementPlan!$M:$M,""),"")="",SWR,IFERROR(XLOOKUP($A439,RetirementPlan!$B:$B,RetirementPlan!$M:$M,""),""))))</f>
        <v/>
      </c>
      <c r="H439" s="9">
        <f>IF(OR($A439="",F439="",G439=""),"",F439-G439)</f>
        <v/>
      </c>
      <c r="I439" s="9">
        <f>IF($A439="","",XLOOKUP($A439,RetirementPlan!$B:$B,RetirementPlan!$E:$E,""))</f>
        <v/>
      </c>
      <c r="J439" s="9">
        <f>IF($A439="","",N(XLOOKUP($A439,RetirementPlan!$B:$B,RetirementPlan!$G:$G,0))+N(XLOOKUP($A439,RetirementPlan!$B:$B,RetirementPlan!$H:$H,0)))</f>
        <v/>
      </c>
      <c r="K439">
        <f>IF($A439="","",IF(NOT(ISBLANK(XLOOKUP($A439,RetirementPlan!$B:$B,RetirementPlan!$N:$N,""))),XLOOKUP($A439,RetirementPlan!$B:$B,RetirementPlan!$N:$N,""),LET(cid,$A439,c,FILTER(LocationPlan!$D:$D,LocationPlan!$C:$C=cid),p,FILTER(LocationPlan!$E:$E,LocationPlan!$C:$C=cid),IFERROR(INDEX(c,MATCH(MAX(p),p,0)),""))))</f>
        <v/>
      </c>
    </row>
    <row r="440">
      <c r="B440">
        <f>IF($A440="","",XLOOKUP($A440,Clients!$A:$A,Clients!$D:$D)&amp;" "&amp;XLOOKUP($A440,Clients!$A:$A,Clients!$E:$E))</f>
        <v/>
      </c>
      <c r="C440">
        <f>IF($A440="","",DATEDIF(XLOOKUP($A440,Clients!$A:$A,Clients!$F:$F),VAL_DATE,"Y"))</f>
        <v/>
      </c>
      <c r="D440">
        <f>IF(OR($A440="",E440=""),"",E440-C440)</f>
        <v/>
      </c>
      <c r="E440">
        <f>IF($A440="","",XLOOKUP($A440,RetirementPlan!$B:$B,RetirementPlan!$C:$C,""))</f>
        <v/>
      </c>
      <c r="F440" s="9">
        <f>IF(OR($A440="",D440=""),"",FV(IF(IFERROR(XLOOKUP($A440,RetirementPlan!$B:$B,RetirementPlan!$K:$K,""),"")="",GROWTH,IFERROR(XLOOKUP($A440,RetirementPlan!$B:$B,RetirementPlan!$K:$K,""),"")),D440,-N(XLOOKUP($A440,RetirementPlan!$B:$B,RetirementPlan!$I:$I,0)),-SUMIFS(Assets!$J:$J,Assets!$B:$B,$A440,Assets!$R:$R,"Yes"),0))</f>
        <v/>
      </c>
      <c r="G440" s="9">
        <f>IF(OR($A440="",I440=""),"",MAX(0,(I440-J440)/IF(IFERROR(XLOOKUP($A440,RetirementPlan!$B:$B,RetirementPlan!$M:$M,""),"")="",SWR,IFERROR(XLOOKUP($A440,RetirementPlan!$B:$B,RetirementPlan!$M:$M,""),""))))</f>
        <v/>
      </c>
      <c r="H440" s="9">
        <f>IF(OR($A440="",F440="",G440=""),"",F440-G440)</f>
        <v/>
      </c>
      <c r="I440" s="9">
        <f>IF($A440="","",XLOOKUP($A440,RetirementPlan!$B:$B,RetirementPlan!$E:$E,""))</f>
        <v/>
      </c>
      <c r="J440" s="9">
        <f>IF($A440="","",N(XLOOKUP($A440,RetirementPlan!$B:$B,RetirementPlan!$G:$G,0))+N(XLOOKUP($A440,RetirementPlan!$B:$B,RetirementPlan!$H:$H,0)))</f>
        <v/>
      </c>
      <c r="K440">
        <f>IF($A440="","",IF(NOT(ISBLANK(XLOOKUP($A440,RetirementPlan!$B:$B,RetirementPlan!$N:$N,""))),XLOOKUP($A440,RetirementPlan!$B:$B,RetirementPlan!$N:$N,""),LET(cid,$A440,c,FILTER(LocationPlan!$D:$D,LocationPlan!$C:$C=cid),p,FILTER(LocationPlan!$E:$E,LocationPlan!$C:$C=cid),IFERROR(INDEX(c,MATCH(MAX(p),p,0)),""))))</f>
        <v/>
      </c>
    </row>
    <row r="441">
      <c r="B441">
        <f>IF($A441="","",XLOOKUP($A441,Clients!$A:$A,Clients!$D:$D)&amp;" "&amp;XLOOKUP($A441,Clients!$A:$A,Clients!$E:$E))</f>
        <v/>
      </c>
      <c r="C441">
        <f>IF($A441="","",DATEDIF(XLOOKUP($A441,Clients!$A:$A,Clients!$F:$F),VAL_DATE,"Y"))</f>
        <v/>
      </c>
      <c r="D441">
        <f>IF(OR($A441="",E441=""),"",E441-C441)</f>
        <v/>
      </c>
      <c r="E441">
        <f>IF($A441="","",XLOOKUP($A441,RetirementPlan!$B:$B,RetirementPlan!$C:$C,""))</f>
        <v/>
      </c>
      <c r="F441" s="9">
        <f>IF(OR($A441="",D441=""),"",FV(IF(IFERROR(XLOOKUP($A441,RetirementPlan!$B:$B,RetirementPlan!$K:$K,""),"")="",GROWTH,IFERROR(XLOOKUP($A441,RetirementPlan!$B:$B,RetirementPlan!$K:$K,""),"")),D441,-N(XLOOKUP($A441,RetirementPlan!$B:$B,RetirementPlan!$I:$I,0)),-SUMIFS(Assets!$J:$J,Assets!$B:$B,$A441,Assets!$R:$R,"Yes"),0))</f>
        <v/>
      </c>
      <c r="G441" s="9">
        <f>IF(OR($A441="",I441=""),"",MAX(0,(I441-J441)/IF(IFERROR(XLOOKUP($A441,RetirementPlan!$B:$B,RetirementPlan!$M:$M,""),"")="",SWR,IFERROR(XLOOKUP($A441,RetirementPlan!$B:$B,RetirementPlan!$M:$M,""),""))))</f>
        <v/>
      </c>
      <c r="H441" s="9">
        <f>IF(OR($A441="",F441="",G441=""),"",F441-G441)</f>
        <v/>
      </c>
      <c r="I441" s="9">
        <f>IF($A441="","",XLOOKUP($A441,RetirementPlan!$B:$B,RetirementPlan!$E:$E,""))</f>
        <v/>
      </c>
      <c r="J441" s="9">
        <f>IF($A441="","",N(XLOOKUP($A441,RetirementPlan!$B:$B,RetirementPlan!$G:$G,0))+N(XLOOKUP($A441,RetirementPlan!$B:$B,RetirementPlan!$H:$H,0)))</f>
        <v/>
      </c>
      <c r="K441">
        <f>IF($A441="","",IF(NOT(ISBLANK(XLOOKUP($A441,RetirementPlan!$B:$B,RetirementPlan!$N:$N,""))),XLOOKUP($A441,RetirementPlan!$B:$B,RetirementPlan!$N:$N,""),LET(cid,$A441,c,FILTER(LocationPlan!$D:$D,LocationPlan!$C:$C=cid),p,FILTER(LocationPlan!$E:$E,LocationPlan!$C:$C=cid),IFERROR(INDEX(c,MATCH(MAX(p),p,0)),""))))</f>
        <v/>
      </c>
    </row>
    <row r="442">
      <c r="B442">
        <f>IF($A442="","",XLOOKUP($A442,Clients!$A:$A,Clients!$D:$D)&amp;" "&amp;XLOOKUP($A442,Clients!$A:$A,Clients!$E:$E))</f>
        <v/>
      </c>
      <c r="C442">
        <f>IF($A442="","",DATEDIF(XLOOKUP($A442,Clients!$A:$A,Clients!$F:$F),VAL_DATE,"Y"))</f>
        <v/>
      </c>
      <c r="D442">
        <f>IF(OR($A442="",E442=""),"",E442-C442)</f>
        <v/>
      </c>
      <c r="E442">
        <f>IF($A442="","",XLOOKUP($A442,RetirementPlan!$B:$B,RetirementPlan!$C:$C,""))</f>
        <v/>
      </c>
      <c r="F442" s="9">
        <f>IF(OR($A442="",D442=""),"",FV(IF(IFERROR(XLOOKUP($A442,RetirementPlan!$B:$B,RetirementPlan!$K:$K,""),"")="",GROWTH,IFERROR(XLOOKUP($A442,RetirementPlan!$B:$B,RetirementPlan!$K:$K,""),"")),D442,-N(XLOOKUP($A442,RetirementPlan!$B:$B,RetirementPlan!$I:$I,0)),-SUMIFS(Assets!$J:$J,Assets!$B:$B,$A442,Assets!$R:$R,"Yes"),0))</f>
        <v/>
      </c>
      <c r="G442" s="9">
        <f>IF(OR($A442="",I442=""),"",MAX(0,(I442-J442)/IF(IFERROR(XLOOKUP($A442,RetirementPlan!$B:$B,RetirementPlan!$M:$M,""),"")="",SWR,IFERROR(XLOOKUP($A442,RetirementPlan!$B:$B,RetirementPlan!$M:$M,""),""))))</f>
        <v/>
      </c>
      <c r="H442" s="9">
        <f>IF(OR($A442="",F442="",G442=""),"",F442-G442)</f>
        <v/>
      </c>
      <c r="I442" s="9">
        <f>IF($A442="","",XLOOKUP($A442,RetirementPlan!$B:$B,RetirementPlan!$E:$E,""))</f>
        <v/>
      </c>
      <c r="J442" s="9">
        <f>IF($A442="","",N(XLOOKUP($A442,RetirementPlan!$B:$B,RetirementPlan!$G:$G,0))+N(XLOOKUP($A442,RetirementPlan!$B:$B,RetirementPlan!$H:$H,0)))</f>
        <v/>
      </c>
      <c r="K442">
        <f>IF($A442="","",IF(NOT(ISBLANK(XLOOKUP($A442,RetirementPlan!$B:$B,RetirementPlan!$N:$N,""))),XLOOKUP($A442,RetirementPlan!$B:$B,RetirementPlan!$N:$N,""),LET(cid,$A442,c,FILTER(LocationPlan!$D:$D,LocationPlan!$C:$C=cid),p,FILTER(LocationPlan!$E:$E,LocationPlan!$C:$C=cid),IFERROR(INDEX(c,MATCH(MAX(p),p,0)),""))))</f>
        <v/>
      </c>
    </row>
    <row r="443">
      <c r="B443">
        <f>IF($A443="","",XLOOKUP($A443,Clients!$A:$A,Clients!$D:$D)&amp;" "&amp;XLOOKUP($A443,Clients!$A:$A,Clients!$E:$E))</f>
        <v/>
      </c>
      <c r="C443">
        <f>IF($A443="","",DATEDIF(XLOOKUP($A443,Clients!$A:$A,Clients!$F:$F),VAL_DATE,"Y"))</f>
        <v/>
      </c>
      <c r="D443">
        <f>IF(OR($A443="",E443=""),"",E443-C443)</f>
        <v/>
      </c>
      <c r="E443">
        <f>IF($A443="","",XLOOKUP($A443,RetirementPlan!$B:$B,RetirementPlan!$C:$C,""))</f>
        <v/>
      </c>
      <c r="F443" s="9">
        <f>IF(OR($A443="",D443=""),"",FV(IF(IFERROR(XLOOKUP($A443,RetirementPlan!$B:$B,RetirementPlan!$K:$K,""),"")="",GROWTH,IFERROR(XLOOKUP($A443,RetirementPlan!$B:$B,RetirementPlan!$K:$K,""),"")),D443,-N(XLOOKUP($A443,RetirementPlan!$B:$B,RetirementPlan!$I:$I,0)),-SUMIFS(Assets!$J:$J,Assets!$B:$B,$A443,Assets!$R:$R,"Yes"),0))</f>
        <v/>
      </c>
      <c r="G443" s="9">
        <f>IF(OR($A443="",I443=""),"",MAX(0,(I443-J443)/IF(IFERROR(XLOOKUP($A443,RetirementPlan!$B:$B,RetirementPlan!$M:$M,""),"")="",SWR,IFERROR(XLOOKUP($A443,RetirementPlan!$B:$B,RetirementPlan!$M:$M,""),""))))</f>
        <v/>
      </c>
      <c r="H443" s="9">
        <f>IF(OR($A443="",F443="",G443=""),"",F443-G443)</f>
        <v/>
      </c>
      <c r="I443" s="9">
        <f>IF($A443="","",XLOOKUP($A443,RetirementPlan!$B:$B,RetirementPlan!$E:$E,""))</f>
        <v/>
      </c>
      <c r="J443" s="9">
        <f>IF($A443="","",N(XLOOKUP($A443,RetirementPlan!$B:$B,RetirementPlan!$G:$G,0))+N(XLOOKUP($A443,RetirementPlan!$B:$B,RetirementPlan!$H:$H,0)))</f>
        <v/>
      </c>
      <c r="K443">
        <f>IF($A443="","",IF(NOT(ISBLANK(XLOOKUP($A443,RetirementPlan!$B:$B,RetirementPlan!$N:$N,""))),XLOOKUP($A443,RetirementPlan!$B:$B,RetirementPlan!$N:$N,""),LET(cid,$A443,c,FILTER(LocationPlan!$D:$D,LocationPlan!$C:$C=cid),p,FILTER(LocationPlan!$E:$E,LocationPlan!$C:$C=cid),IFERROR(INDEX(c,MATCH(MAX(p),p,0)),""))))</f>
        <v/>
      </c>
    </row>
    <row r="444">
      <c r="B444">
        <f>IF($A444="","",XLOOKUP($A444,Clients!$A:$A,Clients!$D:$D)&amp;" "&amp;XLOOKUP($A444,Clients!$A:$A,Clients!$E:$E))</f>
        <v/>
      </c>
      <c r="C444">
        <f>IF($A444="","",DATEDIF(XLOOKUP($A444,Clients!$A:$A,Clients!$F:$F),VAL_DATE,"Y"))</f>
        <v/>
      </c>
      <c r="D444">
        <f>IF(OR($A444="",E444=""),"",E444-C444)</f>
        <v/>
      </c>
      <c r="E444">
        <f>IF($A444="","",XLOOKUP($A444,RetirementPlan!$B:$B,RetirementPlan!$C:$C,""))</f>
        <v/>
      </c>
      <c r="F444" s="9">
        <f>IF(OR($A444="",D444=""),"",FV(IF(IFERROR(XLOOKUP($A444,RetirementPlan!$B:$B,RetirementPlan!$K:$K,""),"")="",GROWTH,IFERROR(XLOOKUP($A444,RetirementPlan!$B:$B,RetirementPlan!$K:$K,""),"")),D444,-N(XLOOKUP($A444,RetirementPlan!$B:$B,RetirementPlan!$I:$I,0)),-SUMIFS(Assets!$J:$J,Assets!$B:$B,$A444,Assets!$R:$R,"Yes"),0))</f>
        <v/>
      </c>
      <c r="G444" s="9">
        <f>IF(OR($A444="",I444=""),"",MAX(0,(I444-J444)/IF(IFERROR(XLOOKUP($A444,RetirementPlan!$B:$B,RetirementPlan!$M:$M,""),"")="",SWR,IFERROR(XLOOKUP($A444,RetirementPlan!$B:$B,RetirementPlan!$M:$M,""),""))))</f>
        <v/>
      </c>
      <c r="H444" s="9">
        <f>IF(OR($A444="",F444="",G444=""),"",F444-G444)</f>
        <v/>
      </c>
      <c r="I444" s="9">
        <f>IF($A444="","",XLOOKUP($A444,RetirementPlan!$B:$B,RetirementPlan!$E:$E,""))</f>
        <v/>
      </c>
      <c r="J444" s="9">
        <f>IF($A444="","",N(XLOOKUP($A444,RetirementPlan!$B:$B,RetirementPlan!$G:$G,0))+N(XLOOKUP($A444,RetirementPlan!$B:$B,RetirementPlan!$H:$H,0)))</f>
        <v/>
      </c>
      <c r="K444">
        <f>IF($A444="","",IF(NOT(ISBLANK(XLOOKUP($A444,RetirementPlan!$B:$B,RetirementPlan!$N:$N,""))),XLOOKUP($A444,RetirementPlan!$B:$B,RetirementPlan!$N:$N,""),LET(cid,$A444,c,FILTER(LocationPlan!$D:$D,LocationPlan!$C:$C=cid),p,FILTER(LocationPlan!$E:$E,LocationPlan!$C:$C=cid),IFERROR(INDEX(c,MATCH(MAX(p),p,0)),""))))</f>
        <v/>
      </c>
    </row>
    <row r="445">
      <c r="B445">
        <f>IF($A445="","",XLOOKUP($A445,Clients!$A:$A,Clients!$D:$D)&amp;" "&amp;XLOOKUP($A445,Clients!$A:$A,Clients!$E:$E))</f>
        <v/>
      </c>
      <c r="C445">
        <f>IF($A445="","",DATEDIF(XLOOKUP($A445,Clients!$A:$A,Clients!$F:$F),VAL_DATE,"Y"))</f>
        <v/>
      </c>
      <c r="D445">
        <f>IF(OR($A445="",E445=""),"",E445-C445)</f>
        <v/>
      </c>
      <c r="E445">
        <f>IF($A445="","",XLOOKUP($A445,RetirementPlan!$B:$B,RetirementPlan!$C:$C,""))</f>
        <v/>
      </c>
      <c r="F445" s="9">
        <f>IF(OR($A445="",D445=""),"",FV(IF(IFERROR(XLOOKUP($A445,RetirementPlan!$B:$B,RetirementPlan!$K:$K,""),"")="",GROWTH,IFERROR(XLOOKUP($A445,RetirementPlan!$B:$B,RetirementPlan!$K:$K,""),"")),D445,-N(XLOOKUP($A445,RetirementPlan!$B:$B,RetirementPlan!$I:$I,0)),-SUMIFS(Assets!$J:$J,Assets!$B:$B,$A445,Assets!$R:$R,"Yes"),0))</f>
        <v/>
      </c>
      <c r="G445" s="9">
        <f>IF(OR($A445="",I445=""),"",MAX(0,(I445-J445)/IF(IFERROR(XLOOKUP($A445,RetirementPlan!$B:$B,RetirementPlan!$M:$M,""),"")="",SWR,IFERROR(XLOOKUP($A445,RetirementPlan!$B:$B,RetirementPlan!$M:$M,""),""))))</f>
        <v/>
      </c>
      <c r="H445" s="9">
        <f>IF(OR($A445="",F445="",G445=""),"",F445-G445)</f>
        <v/>
      </c>
      <c r="I445" s="9">
        <f>IF($A445="","",XLOOKUP($A445,RetirementPlan!$B:$B,RetirementPlan!$E:$E,""))</f>
        <v/>
      </c>
      <c r="J445" s="9">
        <f>IF($A445="","",N(XLOOKUP($A445,RetirementPlan!$B:$B,RetirementPlan!$G:$G,0))+N(XLOOKUP($A445,RetirementPlan!$B:$B,RetirementPlan!$H:$H,0)))</f>
        <v/>
      </c>
      <c r="K445">
        <f>IF($A445="","",IF(NOT(ISBLANK(XLOOKUP($A445,RetirementPlan!$B:$B,RetirementPlan!$N:$N,""))),XLOOKUP($A445,RetirementPlan!$B:$B,RetirementPlan!$N:$N,""),LET(cid,$A445,c,FILTER(LocationPlan!$D:$D,LocationPlan!$C:$C=cid),p,FILTER(LocationPlan!$E:$E,LocationPlan!$C:$C=cid),IFERROR(INDEX(c,MATCH(MAX(p),p,0)),""))))</f>
        <v/>
      </c>
    </row>
    <row r="446">
      <c r="B446">
        <f>IF($A446="","",XLOOKUP($A446,Clients!$A:$A,Clients!$D:$D)&amp;" "&amp;XLOOKUP($A446,Clients!$A:$A,Clients!$E:$E))</f>
        <v/>
      </c>
      <c r="C446">
        <f>IF($A446="","",DATEDIF(XLOOKUP($A446,Clients!$A:$A,Clients!$F:$F),VAL_DATE,"Y"))</f>
        <v/>
      </c>
      <c r="D446">
        <f>IF(OR($A446="",E446=""),"",E446-C446)</f>
        <v/>
      </c>
      <c r="E446">
        <f>IF($A446="","",XLOOKUP($A446,RetirementPlan!$B:$B,RetirementPlan!$C:$C,""))</f>
        <v/>
      </c>
      <c r="F446" s="9">
        <f>IF(OR($A446="",D446=""),"",FV(IF(IFERROR(XLOOKUP($A446,RetirementPlan!$B:$B,RetirementPlan!$K:$K,""),"")="",GROWTH,IFERROR(XLOOKUP($A446,RetirementPlan!$B:$B,RetirementPlan!$K:$K,""),"")),D446,-N(XLOOKUP($A446,RetirementPlan!$B:$B,RetirementPlan!$I:$I,0)),-SUMIFS(Assets!$J:$J,Assets!$B:$B,$A446,Assets!$R:$R,"Yes"),0))</f>
        <v/>
      </c>
      <c r="G446" s="9">
        <f>IF(OR($A446="",I446=""),"",MAX(0,(I446-J446)/IF(IFERROR(XLOOKUP($A446,RetirementPlan!$B:$B,RetirementPlan!$M:$M,""),"")="",SWR,IFERROR(XLOOKUP($A446,RetirementPlan!$B:$B,RetirementPlan!$M:$M,""),""))))</f>
        <v/>
      </c>
      <c r="H446" s="9">
        <f>IF(OR($A446="",F446="",G446=""),"",F446-G446)</f>
        <v/>
      </c>
      <c r="I446" s="9">
        <f>IF($A446="","",XLOOKUP($A446,RetirementPlan!$B:$B,RetirementPlan!$E:$E,""))</f>
        <v/>
      </c>
      <c r="J446" s="9">
        <f>IF($A446="","",N(XLOOKUP($A446,RetirementPlan!$B:$B,RetirementPlan!$G:$G,0))+N(XLOOKUP($A446,RetirementPlan!$B:$B,RetirementPlan!$H:$H,0)))</f>
        <v/>
      </c>
      <c r="K446">
        <f>IF($A446="","",IF(NOT(ISBLANK(XLOOKUP($A446,RetirementPlan!$B:$B,RetirementPlan!$N:$N,""))),XLOOKUP($A446,RetirementPlan!$B:$B,RetirementPlan!$N:$N,""),LET(cid,$A446,c,FILTER(LocationPlan!$D:$D,LocationPlan!$C:$C=cid),p,FILTER(LocationPlan!$E:$E,LocationPlan!$C:$C=cid),IFERROR(INDEX(c,MATCH(MAX(p),p,0)),""))))</f>
        <v/>
      </c>
    </row>
    <row r="447">
      <c r="B447">
        <f>IF($A447="","",XLOOKUP($A447,Clients!$A:$A,Clients!$D:$D)&amp;" "&amp;XLOOKUP($A447,Clients!$A:$A,Clients!$E:$E))</f>
        <v/>
      </c>
      <c r="C447">
        <f>IF($A447="","",DATEDIF(XLOOKUP($A447,Clients!$A:$A,Clients!$F:$F),VAL_DATE,"Y"))</f>
        <v/>
      </c>
      <c r="D447">
        <f>IF(OR($A447="",E447=""),"",E447-C447)</f>
        <v/>
      </c>
      <c r="E447">
        <f>IF($A447="","",XLOOKUP($A447,RetirementPlan!$B:$B,RetirementPlan!$C:$C,""))</f>
        <v/>
      </c>
      <c r="F447" s="9">
        <f>IF(OR($A447="",D447=""),"",FV(IF(IFERROR(XLOOKUP($A447,RetirementPlan!$B:$B,RetirementPlan!$K:$K,""),"")="",GROWTH,IFERROR(XLOOKUP($A447,RetirementPlan!$B:$B,RetirementPlan!$K:$K,""),"")),D447,-N(XLOOKUP($A447,RetirementPlan!$B:$B,RetirementPlan!$I:$I,0)),-SUMIFS(Assets!$J:$J,Assets!$B:$B,$A447,Assets!$R:$R,"Yes"),0))</f>
        <v/>
      </c>
      <c r="G447" s="9">
        <f>IF(OR($A447="",I447=""),"",MAX(0,(I447-J447)/IF(IFERROR(XLOOKUP($A447,RetirementPlan!$B:$B,RetirementPlan!$M:$M,""),"")="",SWR,IFERROR(XLOOKUP($A447,RetirementPlan!$B:$B,RetirementPlan!$M:$M,""),""))))</f>
        <v/>
      </c>
      <c r="H447" s="9">
        <f>IF(OR($A447="",F447="",G447=""),"",F447-G447)</f>
        <v/>
      </c>
      <c r="I447" s="9">
        <f>IF($A447="","",XLOOKUP($A447,RetirementPlan!$B:$B,RetirementPlan!$E:$E,""))</f>
        <v/>
      </c>
      <c r="J447" s="9">
        <f>IF($A447="","",N(XLOOKUP($A447,RetirementPlan!$B:$B,RetirementPlan!$G:$G,0))+N(XLOOKUP($A447,RetirementPlan!$B:$B,RetirementPlan!$H:$H,0)))</f>
        <v/>
      </c>
      <c r="K447">
        <f>IF($A447="","",IF(NOT(ISBLANK(XLOOKUP($A447,RetirementPlan!$B:$B,RetirementPlan!$N:$N,""))),XLOOKUP($A447,RetirementPlan!$B:$B,RetirementPlan!$N:$N,""),LET(cid,$A447,c,FILTER(LocationPlan!$D:$D,LocationPlan!$C:$C=cid),p,FILTER(LocationPlan!$E:$E,LocationPlan!$C:$C=cid),IFERROR(INDEX(c,MATCH(MAX(p),p,0)),""))))</f>
        <v/>
      </c>
    </row>
    <row r="448">
      <c r="B448">
        <f>IF($A448="","",XLOOKUP($A448,Clients!$A:$A,Clients!$D:$D)&amp;" "&amp;XLOOKUP($A448,Clients!$A:$A,Clients!$E:$E))</f>
        <v/>
      </c>
      <c r="C448">
        <f>IF($A448="","",DATEDIF(XLOOKUP($A448,Clients!$A:$A,Clients!$F:$F),VAL_DATE,"Y"))</f>
        <v/>
      </c>
      <c r="D448">
        <f>IF(OR($A448="",E448=""),"",E448-C448)</f>
        <v/>
      </c>
      <c r="E448">
        <f>IF($A448="","",XLOOKUP($A448,RetirementPlan!$B:$B,RetirementPlan!$C:$C,""))</f>
        <v/>
      </c>
      <c r="F448" s="9">
        <f>IF(OR($A448="",D448=""),"",FV(IF(IFERROR(XLOOKUP($A448,RetirementPlan!$B:$B,RetirementPlan!$K:$K,""),"")="",GROWTH,IFERROR(XLOOKUP($A448,RetirementPlan!$B:$B,RetirementPlan!$K:$K,""),"")),D448,-N(XLOOKUP($A448,RetirementPlan!$B:$B,RetirementPlan!$I:$I,0)),-SUMIFS(Assets!$J:$J,Assets!$B:$B,$A448,Assets!$R:$R,"Yes"),0))</f>
        <v/>
      </c>
      <c r="G448" s="9">
        <f>IF(OR($A448="",I448=""),"",MAX(0,(I448-J448)/IF(IFERROR(XLOOKUP($A448,RetirementPlan!$B:$B,RetirementPlan!$M:$M,""),"")="",SWR,IFERROR(XLOOKUP($A448,RetirementPlan!$B:$B,RetirementPlan!$M:$M,""),""))))</f>
        <v/>
      </c>
      <c r="H448" s="9">
        <f>IF(OR($A448="",F448="",G448=""),"",F448-G448)</f>
        <v/>
      </c>
      <c r="I448" s="9">
        <f>IF($A448="","",XLOOKUP($A448,RetirementPlan!$B:$B,RetirementPlan!$E:$E,""))</f>
        <v/>
      </c>
      <c r="J448" s="9">
        <f>IF($A448="","",N(XLOOKUP($A448,RetirementPlan!$B:$B,RetirementPlan!$G:$G,0))+N(XLOOKUP($A448,RetirementPlan!$B:$B,RetirementPlan!$H:$H,0)))</f>
        <v/>
      </c>
      <c r="K448">
        <f>IF($A448="","",IF(NOT(ISBLANK(XLOOKUP($A448,RetirementPlan!$B:$B,RetirementPlan!$N:$N,""))),XLOOKUP($A448,RetirementPlan!$B:$B,RetirementPlan!$N:$N,""),LET(cid,$A448,c,FILTER(LocationPlan!$D:$D,LocationPlan!$C:$C=cid),p,FILTER(LocationPlan!$E:$E,LocationPlan!$C:$C=cid),IFERROR(INDEX(c,MATCH(MAX(p),p,0)),""))))</f>
        <v/>
      </c>
    </row>
    <row r="449">
      <c r="B449">
        <f>IF($A449="","",XLOOKUP($A449,Clients!$A:$A,Clients!$D:$D)&amp;" "&amp;XLOOKUP($A449,Clients!$A:$A,Clients!$E:$E))</f>
        <v/>
      </c>
      <c r="C449">
        <f>IF($A449="","",DATEDIF(XLOOKUP($A449,Clients!$A:$A,Clients!$F:$F),VAL_DATE,"Y"))</f>
        <v/>
      </c>
      <c r="D449">
        <f>IF(OR($A449="",E449=""),"",E449-C449)</f>
        <v/>
      </c>
      <c r="E449">
        <f>IF($A449="","",XLOOKUP($A449,RetirementPlan!$B:$B,RetirementPlan!$C:$C,""))</f>
        <v/>
      </c>
      <c r="F449" s="9">
        <f>IF(OR($A449="",D449=""),"",FV(IF(IFERROR(XLOOKUP($A449,RetirementPlan!$B:$B,RetirementPlan!$K:$K,""),"")="",GROWTH,IFERROR(XLOOKUP($A449,RetirementPlan!$B:$B,RetirementPlan!$K:$K,""),"")),D449,-N(XLOOKUP($A449,RetirementPlan!$B:$B,RetirementPlan!$I:$I,0)),-SUMIFS(Assets!$J:$J,Assets!$B:$B,$A449,Assets!$R:$R,"Yes"),0))</f>
        <v/>
      </c>
      <c r="G449" s="9">
        <f>IF(OR($A449="",I449=""),"",MAX(0,(I449-J449)/IF(IFERROR(XLOOKUP($A449,RetirementPlan!$B:$B,RetirementPlan!$M:$M,""),"")="",SWR,IFERROR(XLOOKUP($A449,RetirementPlan!$B:$B,RetirementPlan!$M:$M,""),""))))</f>
        <v/>
      </c>
      <c r="H449" s="9">
        <f>IF(OR($A449="",F449="",G449=""),"",F449-G449)</f>
        <v/>
      </c>
      <c r="I449" s="9">
        <f>IF($A449="","",XLOOKUP($A449,RetirementPlan!$B:$B,RetirementPlan!$E:$E,""))</f>
        <v/>
      </c>
      <c r="J449" s="9">
        <f>IF($A449="","",N(XLOOKUP($A449,RetirementPlan!$B:$B,RetirementPlan!$G:$G,0))+N(XLOOKUP($A449,RetirementPlan!$B:$B,RetirementPlan!$H:$H,0)))</f>
        <v/>
      </c>
      <c r="K449">
        <f>IF($A449="","",IF(NOT(ISBLANK(XLOOKUP($A449,RetirementPlan!$B:$B,RetirementPlan!$N:$N,""))),XLOOKUP($A449,RetirementPlan!$B:$B,RetirementPlan!$N:$N,""),LET(cid,$A449,c,FILTER(LocationPlan!$D:$D,LocationPlan!$C:$C=cid),p,FILTER(LocationPlan!$E:$E,LocationPlan!$C:$C=cid),IFERROR(INDEX(c,MATCH(MAX(p),p,0)),""))))</f>
        <v/>
      </c>
    </row>
    <row r="450">
      <c r="B450">
        <f>IF($A450="","",XLOOKUP($A450,Clients!$A:$A,Clients!$D:$D)&amp;" "&amp;XLOOKUP($A450,Clients!$A:$A,Clients!$E:$E))</f>
        <v/>
      </c>
      <c r="C450">
        <f>IF($A450="","",DATEDIF(XLOOKUP($A450,Clients!$A:$A,Clients!$F:$F),VAL_DATE,"Y"))</f>
        <v/>
      </c>
      <c r="D450">
        <f>IF(OR($A450="",E450=""),"",E450-C450)</f>
        <v/>
      </c>
      <c r="E450">
        <f>IF($A450="","",XLOOKUP($A450,RetirementPlan!$B:$B,RetirementPlan!$C:$C,""))</f>
        <v/>
      </c>
      <c r="F450" s="9">
        <f>IF(OR($A450="",D450=""),"",FV(IF(IFERROR(XLOOKUP($A450,RetirementPlan!$B:$B,RetirementPlan!$K:$K,""),"")="",GROWTH,IFERROR(XLOOKUP($A450,RetirementPlan!$B:$B,RetirementPlan!$K:$K,""),"")),D450,-N(XLOOKUP($A450,RetirementPlan!$B:$B,RetirementPlan!$I:$I,0)),-SUMIFS(Assets!$J:$J,Assets!$B:$B,$A450,Assets!$R:$R,"Yes"),0))</f>
        <v/>
      </c>
      <c r="G450" s="9">
        <f>IF(OR($A450="",I450=""),"",MAX(0,(I450-J450)/IF(IFERROR(XLOOKUP($A450,RetirementPlan!$B:$B,RetirementPlan!$M:$M,""),"")="",SWR,IFERROR(XLOOKUP($A450,RetirementPlan!$B:$B,RetirementPlan!$M:$M,""),""))))</f>
        <v/>
      </c>
      <c r="H450" s="9">
        <f>IF(OR($A450="",F450="",G450=""),"",F450-G450)</f>
        <v/>
      </c>
      <c r="I450" s="9">
        <f>IF($A450="","",XLOOKUP($A450,RetirementPlan!$B:$B,RetirementPlan!$E:$E,""))</f>
        <v/>
      </c>
      <c r="J450" s="9">
        <f>IF($A450="","",N(XLOOKUP($A450,RetirementPlan!$B:$B,RetirementPlan!$G:$G,0))+N(XLOOKUP($A450,RetirementPlan!$B:$B,RetirementPlan!$H:$H,0)))</f>
        <v/>
      </c>
      <c r="K450">
        <f>IF($A450="","",IF(NOT(ISBLANK(XLOOKUP($A450,RetirementPlan!$B:$B,RetirementPlan!$N:$N,""))),XLOOKUP($A450,RetirementPlan!$B:$B,RetirementPlan!$N:$N,""),LET(cid,$A450,c,FILTER(LocationPlan!$D:$D,LocationPlan!$C:$C=cid),p,FILTER(LocationPlan!$E:$E,LocationPlan!$C:$C=cid),IFERROR(INDEX(c,MATCH(MAX(p),p,0)),""))))</f>
        <v/>
      </c>
    </row>
    <row r="451">
      <c r="B451">
        <f>IF($A451="","",XLOOKUP($A451,Clients!$A:$A,Clients!$D:$D)&amp;" "&amp;XLOOKUP($A451,Clients!$A:$A,Clients!$E:$E))</f>
        <v/>
      </c>
      <c r="C451">
        <f>IF($A451="","",DATEDIF(XLOOKUP($A451,Clients!$A:$A,Clients!$F:$F),VAL_DATE,"Y"))</f>
        <v/>
      </c>
      <c r="D451">
        <f>IF(OR($A451="",E451=""),"",E451-C451)</f>
        <v/>
      </c>
      <c r="E451">
        <f>IF($A451="","",XLOOKUP($A451,RetirementPlan!$B:$B,RetirementPlan!$C:$C,""))</f>
        <v/>
      </c>
      <c r="F451" s="9">
        <f>IF(OR($A451="",D451=""),"",FV(IF(IFERROR(XLOOKUP($A451,RetirementPlan!$B:$B,RetirementPlan!$K:$K,""),"")="",GROWTH,IFERROR(XLOOKUP($A451,RetirementPlan!$B:$B,RetirementPlan!$K:$K,""),"")),D451,-N(XLOOKUP($A451,RetirementPlan!$B:$B,RetirementPlan!$I:$I,0)),-SUMIFS(Assets!$J:$J,Assets!$B:$B,$A451,Assets!$R:$R,"Yes"),0))</f>
        <v/>
      </c>
      <c r="G451" s="9">
        <f>IF(OR($A451="",I451=""),"",MAX(0,(I451-J451)/IF(IFERROR(XLOOKUP($A451,RetirementPlan!$B:$B,RetirementPlan!$M:$M,""),"")="",SWR,IFERROR(XLOOKUP($A451,RetirementPlan!$B:$B,RetirementPlan!$M:$M,""),""))))</f>
        <v/>
      </c>
      <c r="H451" s="9">
        <f>IF(OR($A451="",F451="",G451=""),"",F451-G451)</f>
        <v/>
      </c>
      <c r="I451" s="9">
        <f>IF($A451="","",XLOOKUP($A451,RetirementPlan!$B:$B,RetirementPlan!$E:$E,""))</f>
        <v/>
      </c>
      <c r="J451" s="9">
        <f>IF($A451="","",N(XLOOKUP($A451,RetirementPlan!$B:$B,RetirementPlan!$G:$G,0))+N(XLOOKUP($A451,RetirementPlan!$B:$B,RetirementPlan!$H:$H,0)))</f>
        <v/>
      </c>
      <c r="K451">
        <f>IF($A451="","",IF(NOT(ISBLANK(XLOOKUP($A451,RetirementPlan!$B:$B,RetirementPlan!$N:$N,""))),XLOOKUP($A451,RetirementPlan!$B:$B,RetirementPlan!$N:$N,""),LET(cid,$A451,c,FILTER(LocationPlan!$D:$D,LocationPlan!$C:$C=cid),p,FILTER(LocationPlan!$E:$E,LocationPlan!$C:$C=cid),IFERROR(INDEX(c,MATCH(MAX(p),p,0)),""))))</f>
        <v/>
      </c>
    </row>
    <row r="452">
      <c r="B452">
        <f>IF($A452="","",XLOOKUP($A452,Clients!$A:$A,Clients!$D:$D)&amp;" "&amp;XLOOKUP($A452,Clients!$A:$A,Clients!$E:$E))</f>
        <v/>
      </c>
      <c r="C452">
        <f>IF($A452="","",DATEDIF(XLOOKUP($A452,Clients!$A:$A,Clients!$F:$F),VAL_DATE,"Y"))</f>
        <v/>
      </c>
      <c r="D452">
        <f>IF(OR($A452="",E452=""),"",E452-C452)</f>
        <v/>
      </c>
      <c r="E452">
        <f>IF($A452="","",XLOOKUP($A452,RetirementPlan!$B:$B,RetirementPlan!$C:$C,""))</f>
        <v/>
      </c>
      <c r="F452" s="9">
        <f>IF(OR($A452="",D452=""),"",FV(IF(IFERROR(XLOOKUP($A452,RetirementPlan!$B:$B,RetirementPlan!$K:$K,""),"")="",GROWTH,IFERROR(XLOOKUP($A452,RetirementPlan!$B:$B,RetirementPlan!$K:$K,""),"")),D452,-N(XLOOKUP($A452,RetirementPlan!$B:$B,RetirementPlan!$I:$I,0)),-SUMIFS(Assets!$J:$J,Assets!$B:$B,$A452,Assets!$R:$R,"Yes"),0))</f>
        <v/>
      </c>
      <c r="G452" s="9">
        <f>IF(OR($A452="",I452=""),"",MAX(0,(I452-J452)/IF(IFERROR(XLOOKUP($A452,RetirementPlan!$B:$B,RetirementPlan!$M:$M,""),"")="",SWR,IFERROR(XLOOKUP($A452,RetirementPlan!$B:$B,RetirementPlan!$M:$M,""),""))))</f>
        <v/>
      </c>
      <c r="H452" s="9">
        <f>IF(OR($A452="",F452="",G452=""),"",F452-G452)</f>
        <v/>
      </c>
      <c r="I452" s="9">
        <f>IF($A452="","",XLOOKUP($A452,RetirementPlan!$B:$B,RetirementPlan!$E:$E,""))</f>
        <v/>
      </c>
      <c r="J452" s="9">
        <f>IF($A452="","",N(XLOOKUP($A452,RetirementPlan!$B:$B,RetirementPlan!$G:$G,0))+N(XLOOKUP($A452,RetirementPlan!$B:$B,RetirementPlan!$H:$H,0)))</f>
        <v/>
      </c>
      <c r="K452">
        <f>IF($A452="","",IF(NOT(ISBLANK(XLOOKUP($A452,RetirementPlan!$B:$B,RetirementPlan!$N:$N,""))),XLOOKUP($A452,RetirementPlan!$B:$B,RetirementPlan!$N:$N,""),LET(cid,$A452,c,FILTER(LocationPlan!$D:$D,LocationPlan!$C:$C=cid),p,FILTER(LocationPlan!$E:$E,LocationPlan!$C:$C=cid),IFERROR(INDEX(c,MATCH(MAX(p),p,0)),""))))</f>
        <v/>
      </c>
    </row>
    <row r="453">
      <c r="B453">
        <f>IF($A453="","",XLOOKUP($A453,Clients!$A:$A,Clients!$D:$D)&amp;" "&amp;XLOOKUP($A453,Clients!$A:$A,Clients!$E:$E))</f>
        <v/>
      </c>
      <c r="C453">
        <f>IF($A453="","",DATEDIF(XLOOKUP($A453,Clients!$A:$A,Clients!$F:$F),VAL_DATE,"Y"))</f>
        <v/>
      </c>
      <c r="D453">
        <f>IF(OR($A453="",E453=""),"",E453-C453)</f>
        <v/>
      </c>
      <c r="E453">
        <f>IF($A453="","",XLOOKUP($A453,RetirementPlan!$B:$B,RetirementPlan!$C:$C,""))</f>
        <v/>
      </c>
      <c r="F453" s="9">
        <f>IF(OR($A453="",D453=""),"",FV(IF(IFERROR(XLOOKUP($A453,RetirementPlan!$B:$B,RetirementPlan!$K:$K,""),"")="",GROWTH,IFERROR(XLOOKUP($A453,RetirementPlan!$B:$B,RetirementPlan!$K:$K,""),"")),D453,-N(XLOOKUP($A453,RetirementPlan!$B:$B,RetirementPlan!$I:$I,0)),-SUMIFS(Assets!$J:$J,Assets!$B:$B,$A453,Assets!$R:$R,"Yes"),0))</f>
        <v/>
      </c>
      <c r="G453" s="9">
        <f>IF(OR($A453="",I453=""),"",MAX(0,(I453-J453)/IF(IFERROR(XLOOKUP($A453,RetirementPlan!$B:$B,RetirementPlan!$M:$M,""),"")="",SWR,IFERROR(XLOOKUP($A453,RetirementPlan!$B:$B,RetirementPlan!$M:$M,""),""))))</f>
        <v/>
      </c>
      <c r="H453" s="9">
        <f>IF(OR($A453="",F453="",G453=""),"",F453-G453)</f>
        <v/>
      </c>
      <c r="I453" s="9">
        <f>IF($A453="","",XLOOKUP($A453,RetirementPlan!$B:$B,RetirementPlan!$E:$E,""))</f>
        <v/>
      </c>
      <c r="J453" s="9">
        <f>IF($A453="","",N(XLOOKUP($A453,RetirementPlan!$B:$B,RetirementPlan!$G:$G,0))+N(XLOOKUP($A453,RetirementPlan!$B:$B,RetirementPlan!$H:$H,0)))</f>
        <v/>
      </c>
      <c r="K453">
        <f>IF($A453="","",IF(NOT(ISBLANK(XLOOKUP($A453,RetirementPlan!$B:$B,RetirementPlan!$N:$N,""))),XLOOKUP($A453,RetirementPlan!$B:$B,RetirementPlan!$N:$N,""),LET(cid,$A453,c,FILTER(LocationPlan!$D:$D,LocationPlan!$C:$C=cid),p,FILTER(LocationPlan!$E:$E,LocationPlan!$C:$C=cid),IFERROR(INDEX(c,MATCH(MAX(p),p,0)),""))))</f>
        <v/>
      </c>
    </row>
    <row r="454">
      <c r="B454">
        <f>IF($A454="","",XLOOKUP($A454,Clients!$A:$A,Clients!$D:$D)&amp;" "&amp;XLOOKUP($A454,Clients!$A:$A,Clients!$E:$E))</f>
        <v/>
      </c>
      <c r="C454">
        <f>IF($A454="","",DATEDIF(XLOOKUP($A454,Clients!$A:$A,Clients!$F:$F),VAL_DATE,"Y"))</f>
        <v/>
      </c>
      <c r="D454">
        <f>IF(OR($A454="",E454=""),"",E454-C454)</f>
        <v/>
      </c>
      <c r="E454">
        <f>IF($A454="","",XLOOKUP($A454,RetirementPlan!$B:$B,RetirementPlan!$C:$C,""))</f>
        <v/>
      </c>
      <c r="F454" s="9">
        <f>IF(OR($A454="",D454=""),"",FV(IF(IFERROR(XLOOKUP($A454,RetirementPlan!$B:$B,RetirementPlan!$K:$K,""),"")="",GROWTH,IFERROR(XLOOKUP($A454,RetirementPlan!$B:$B,RetirementPlan!$K:$K,""),"")),D454,-N(XLOOKUP($A454,RetirementPlan!$B:$B,RetirementPlan!$I:$I,0)),-SUMIFS(Assets!$J:$J,Assets!$B:$B,$A454,Assets!$R:$R,"Yes"),0))</f>
        <v/>
      </c>
      <c r="G454" s="9">
        <f>IF(OR($A454="",I454=""),"",MAX(0,(I454-J454)/IF(IFERROR(XLOOKUP($A454,RetirementPlan!$B:$B,RetirementPlan!$M:$M,""),"")="",SWR,IFERROR(XLOOKUP($A454,RetirementPlan!$B:$B,RetirementPlan!$M:$M,""),""))))</f>
        <v/>
      </c>
      <c r="H454" s="9">
        <f>IF(OR($A454="",F454="",G454=""),"",F454-G454)</f>
        <v/>
      </c>
      <c r="I454" s="9">
        <f>IF($A454="","",XLOOKUP($A454,RetirementPlan!$B:$B,RetirementPlan!$E:$E,""))</f>
        <v/>
      </c>
      <c r="J454" s="9">
        <f>IF($A454="","",N(XLOOKUP($A454,RetirementPlan!$B:$B,RetirementPlan!$G:$G,0))+N(XLOOKUP($A454,RetirementPlan!$B:$B,RetirementPlan!$H:$H,0)))</f>
        <v/>
      </c>
      <c r="K454">
        <f>IF($A454="","",IF(NOT(ISBLANK(XLOOKUP($A454,RetirementPlan!$B:$B,RetirementPlan!$N:$N,""))),XLOOKUP($A454,RetirementPlan!$B:$B,RetirementPlan!$N:$N,""),LET(cid,$A454,c,FILTER(LocationPlan!$D:$D,LocationPlan!$C:$C=cid),p,FILTER(LocationPlan!$E:$E,LocationPlan!$C:$C=cid),IFERROR(INDEX(c,MATCH(MAX(p),p,0)),""))))</f>
        <v/>
      </c>
    </row>
    <row r="455">
      <c r="B455">
        <f>IF($A455="","",XLOOKUP($A455,Clients!$A:$A,Clients!$D:$D)&amp;" "&amp;XLOOKUP($A455,Clients!$A:$A,Clients!$E:$E))</f>
        <v/>
      </c>
      <c r="C455">
        <f>IF($A455="","",DATEDIF(XLOOKUP($A455,Clients!$A:$A,Clients!$F:$F),VAL_DATE,"Y"))</f>
        <v/>
      </c>
      <c r="D455">
        <f>IF(OR($A455="",E455=""),"",E455-C455)</f>
        <v/>
      </c>
      <c r="E455">
        <f>IF($A455="","",XLOOKUP($A455,RetirementPlan!$B:$B,RetirementPlan!$C:$C,""))</f>
        <v/>
      </c>
      <c r="F455" s="9">
        <f>IF(OR($A455="",D455=""),"",FV(IF(IFERROR(XLOOKUP($A455,RetirementPlan!$B:$B,RetirementPlan!$K:$K,""),"")="",GROWTH,IFERROR(XLOOKUP($A455,RetirementPlan!$B:$B,RetirementPlan!$K:$K,""),"")),D455,-N(XLOOKUP($A455,RetirementPlan!$B:$B,RetirementPlan!$I:$I,0)),-SUMIFS(Assets!$J:$J,Assets!$B:$B,$A455,Assets!$R:$R,"Yes"),0))</f>
        <v/>
      </c>
      <c r="G455" s="9">
        <f>IF(OR($A455="",I455=""),"",MAX(0,(I455-J455)/IF(IFERROR(XLOOKUP($A455,RetirementPlan!$B:$B,RetirementPlan!$M:$M,""),"")="",SWR,IFERROR(XLOOKUP($A455,RetirementPlan!$B:$B,RetirementPlan!$M:$M,""),""))))</f>
        <v/>
      </c>
      <c r="H455" s="9">
        <f>IF(OR($A455="",F455="",G455=""),"",F455-G455)</f>
        <v/>
      </c>
      <c r="I455" s="9">
        <f>IF($A455="","",XLOOKUP($A455,RetirementPlan!$B:$B,RetirementPlan!$E:$E,""))</f>
        <v/>
      </c>
      <c r="J455" s="9">
        <f>IF($A455="","",N(XLOOKUP($A455,RetirementPlan!$B:$B,RetirementPlan!$G:$G,0))+N(XLOOKUP($A455,RetirementPlan!$B:$B,RetirementPlan!$H:$H,0)))</f>
        <v/>
      </c>
      <c r="K455">
        <f>IF($A455="","",IF(NOT(ISBLANK(XLOOKUP($A455,RetirementPlan!$B:$B,RetirementPlan!$N:$N,""))),XLOOKUP($A455,RetirementPlan!$B:$B,RetirementPlan!$N:$N,""),LET(cid,$A455,c,FILTER(LocationPlan!$D:$D,LocationPlan!$C:$C=cid),p,FILTER(LocationPlan!$E:$E,LocationPlan!$C:$C=cid),IFERROR(INDEX(c,MATCH(MAX(p),p,0)),""))))</f>
        <v/>
      </c>
    </row>
    <row r="456">
      <c r="B456">
        <f>IF($A456="","",XLOOKUP($A456,Clients!$A:$A,Clients!$D:$D)&amp;" "&amp;XLOOKUP($A456,Clients!$A:$A,Clients!$E:$E))</f>
        <v/>
      </c>
      <c r="C456">
        <f>IF($A456="","",DATEDIF(XLOOKUP($A456,Clients!$A:$A,Clients!$F:$F),VAL_DATE,"Y"))</f>
        <v/>
      </c>
      <c r="D456">
        <f>IF(OR($A456="",E456=""),"",E456-C456)</f>
        <v/>
      </c>
      <c r="E456">
        <f>IF($A456="","",XLOOKUP($A456,RetirementPlan!$B:$B,RetirementPlan!$C:$C,""))</f>
        <v/>
      </c>
      <c r="F456" s="9">
        <f>IF(OR($A456="",D456=""),"",FV(IF(IFERROR(XLOOKUP($A456,RetirementPlan!$B:$B,RetirementPlan!$K:$K,""),"")="",GROWTH,IFERROR(XLOOKUP($A456,RetirementPlan!$B:$B,RetirementPlan!$K:$K,""),"")),D456,-N(XLOOKUP($A456,RetirementPlan!$B:$B,RetirementPlan!$I:$I,0)),-SUMIFS(Assets!$J:$J,Assets!$B:$B,$A456,Assets!$R:$R,"Yes"),0))</f>
        <v/>
      </c>
      <c r="G456" s="9">
        <f>IF(OR($A456="",I456=""),"",MAX(0,(I456-J456)/IF(IFERROR(XLOOKUP($A456,RetirementPlan!$B:$B,RetirementPlan!$M:$M,""),"")="",SWR,IFERROR(XLOOKUP($A456,RetirementPlan!$B:$B,RetirementPlan!$M:$M,""),""))))</f>
        <v/>
      </c>
      <c r="H456" s="9">
        <f>IF(OR($A456="",F456="",G456=""),"",F456-G456)</f>
        <v/>
      </c>
      <c r="I456" s="9">
        <f>IF($A456="","",XLOOKUP($A456,RetirementPlan!$B:$B,RetirementPlan!$E:$E,""))</f>
        <v/>
      </c>
      <c r="J456" s="9">
        <f>IF($A456="","",N(XLOOKUP($A456,RetirementPlan!$B:$B,RetirementPlan!$G:$G,0))+N(XLOOKUP($A456,RetirementPlan!$B:$B,RetirementPlan!$H:$H,0)))</f>
        <v/>
      </c>
      <c r="K456">
        <f>IF($A456="","",IF(NOT(ISBLANK(XLOOKUP($A456,RetirementPlan!$B:$B,RetirementPlan!$N:$N,""))),XLOOKUP($A456,RetirementPlan!$B:$B,RetirementPlan!$N:$N,""),LET(cid,$A456,c,FILTER(LocationPlan!$D:$D,LocationPlan!$C:$C=cid),p,FILTER(LocationPlan!$E:$E,LocationPlan!$C:$C=cid),IFERROR(INDEX(c,MATCH(MAX(p),p,0)),""))))</f>
        <v/>
      </c>
    </row>
    <row r="457">
      <c r="B457">
        <f>IF($A457="","",XLOOKUP($A457,Clients!$A:$A,Clients!$D:$D)&amp;" "&amp;XLOOKUP($A457,Clients!$A:$A,Clients!$E:$E))</f>
        <v/>
      </c>
      <c r="C457">
        <f>IF($A457="","",DATEDIF(XLOOKUP($A457,Clients!$A:$A,Clients!$F:$F),VAL_DATE,"Y"))</f>
        <v/>
      </c>
      <c r="D457">
        <f>IF(OR($A457="",E457=""),"",E457-C457)</f>
        <v/>
      </c>
      <c r="E457">
        <f>IF($A457="","",XLOOKUP($A457,RetirementPlan!$B:$B,RetirementPlan!$C:$C,""))</f>
        <v/>
      </c>
      <c r="F457" s="9">
        <f>IF(OR($A457="",D457=""),"",FV(IF(IFERROR(XLOOKUP($A457,RetirementPlan!$B:$B,RetirementPlan!$K:$K,""),"")="",GROWTH,IFERROR(XLOOKUP($A457,RetirementPlan!$B:$B,RetirementPlan!$K:$K,""),"")),D457,-N(XLOOKUP($A457,RetirementPlan!$B:$B,RetirementPlan!$I:$I,0)),-SUMIFS(Assets!$J:$J,Assets!$B:$B,$A457,Assets!$R:$R,"Yes"),0))</f>
        <v/>
      </c>
      <c r="G457" s="9">
        <f>IF(OR($A457="",I457=""),"",MAX(0,(I457-J457)/IF(IFERROR(XLOOKUP($A457,RetirementPlan!$B:$B,RetirementPlan!$M:$M,""),"")="",SWR,IFERROR(XLOOKUP($A457,RetirementPlan!$B:$B,RetirementPlan!$M:$M,""),""))))</f>
        <v/>
      </c>
      <c r="H457" s="9">
        <f>IF(OR($A457="",F457="",G457=""),"",F457-G457)</f>
        <v/>
      </c>
      <c r="I457" s="9">
        <f>IF($A457="","",XLOOKUP($A457,RetirementPlan!$B:$B,RetirementPlan!$E:$E,""))</f>
        <v/>
      </c>
      <c r="J457" s="9">
        <f>IF($A457="","",N(XLOOKUP($A457,RetirementPlan!$B:$B,RetirementPlan!$G:$G,0))+N(XLOOKUP($A457,RetirementPlan!$B:$B,RetirementPlan!$H:$H,0)))</f>
        <v/>
      </c>
      <c r="K457">
        <f>IF($A457="","",IF(NOT(ISBLANK(XLOOKUP($A457,RetirementPlan!$B:$B,RetirementPlan!$N:$N,""))),XLOOKUP($A457,RetirementPlan!$B:$B,RetirementPlan!$N:$N,""),LET(cid,$A457,c,FILTER(LocationPlan!$D:$D,LocationPlan!$C:$C=cid),p,FILTER(LocationPlan!$E:$E,LocationPlan!$C:$C=cid),IFERROR(INDEX(c,MATCH(MAX(p),p,0)),""))))</f>
        <v/>
      </c>
    </row>
    <row r="458">
      <c r="B458">
        <f>IF($A458="","",XLOOKUP($A458,Clients!$A:$A,Clients!$D:$D)&amp;" "&amp;XLOOKUP($A458,Clients!$A:$A,Clients!$E:$E))</f>
        <v/>
      </c>
      <c r="C458">
        <f>IF($A458="","",DATEDIF(XLOOKUP($A458,Clients!$A:$A,Clients!$F:$F),VAL_DATE,"Y"))</f>
        <v/>
      </c>
      <c r="D458">
        <f>IF(OR($A458="",E458=""),"",E458-C458)</f>
        <v/>
      </c>
      <c r="E458">
        <f>IF($A458="","",XLOOKUP($A458,RetirementPlan!$B:$B,RetirementPlan!$C:$C,""))</f>
        <v/>
      </c>
      <c r="F458" s="9">
        <f>IF(OR($A458="",D458=""),"",FV(IF(IFERROR(XLOOKUP($A458,RetirementPlan!$B:$B,RetirementPlan!$K:$K,""),"")="",GROWTH,IFERROR(XLOOKUP($A458,RetirementPlan!$B:$B,RetirementPlan!$K:$K,""),"")),D458,-N(XLOOKUP($A458,RetirementPlan!$B:$B,RetirementPlan!$I:$I,0)),-SUMIFS(Assets!$J:$J,Assets!$B:$B,$A458,Assets!$R:$R,"Yes"),0))</f>
        <v/>
      </c>
      <c r="G458" s="9">
        <f>IF(OR($A458="",I458=""),"",MAX(0,(I458-J458)/IF(IFERROR(XLOOKUP($A458,RetirementPlan!$B:$B,RetirementPlan!$M:$M,""),"")="",SWR,IFERROR(XLOOKUP($A458,RetirementPlan!$B:$B,RetirementPlan!$M:$M,""),""))))</f>
        <v/>
      </c>
      <c r="H458" s="9">
        <f>IF(OR($A458="",F458="",G458=""),"",F458-G458)</f>
        <v/>
      </c>
      <c r="I458" s="9">
        <f>IF($A458="","",XLOOKUP($A458,RetirementPlan!$B:$B,RetirementPlan!$E:$E,""))</f>
        <v/>
      </c>
      <c r="J458" s="9">
        <f>IF($A458="","",N(XLOOKUP($A458,RetirementPlan!$B:$B,RetirementPlan!$G:$G,0))+N(XLOOKUP($A458,RetirementPlan!$B:$B,RetirementPlan!$H:$H,0)))</f>
        <v/>
      </c>
      <c r="K458">
        <f>IF($A458="","",IF(NOT(ISBLANK(XLOOKUP($A458,RetirementPlan!$B:$B,RetirementPlan!$N:$N,""))),XLOOKUP($A458,RetirementPlan!$B:$B,RetirementPlan!$N:$N,""),LET(cid,$A458,c,FILTER(LocationPlan!$D:$D,LocationPlan!$C:$C=cid),p,FILTER(LocationPlan!$E:$E,LocationPlan!$C:$C=cid),IFERROR(INDEX(c,MATCH(MAX(p),p,0)),""))))</f>
        <v/>
      </c>
    </row>
    <row r="459">
      <c r="B459">
        <f>IF($A459="","",XLOOKUP($A459,Clients!$A:$A,Clients!$D:$D)&amp;" "&amp;XLOOKUP($A459,Clients!$A:$A,Clients!$E:$E))</f>
        <v/>
      </c>
      <c r="C459">
        <f>IF($A459="","",DATEDIF(XLOOKUP($A459,Clients!$A:$A,Clients!$F:$F),VAL_DATE,"Y"))</f>
        <v/>
      </c>
      <c r="D459">
        <f>IF(OR($A459="",E459=""),"",E459-C459)</f>
        <v/>
      </c>
      <c r="E459">
        <f>IF($A459="","",XLOOKUP($A459,RetirementPlan!$B:$B,RetirementPlan!$C:$C,""))</f>
        <v/>
      </c>
      <c r="F459" s="9">
        <f>IF(OR($A459="",D459=""),"",FV(IF(IFERROR(XLOOKUP($A459,RetirementPlan!$B:$B,RetirementPlan!$K:$K,""),"")="",GROWTH,IFERROR(XLOOKUP($A459,RetirementPlan!$B:$B,RetirementPlan!$K:$K,""),"")),D459,-N(XLOOKUP($A459,RetirementPlan!$B:$B,RetirementPlan!$I:$I,0)),-SUMIFS(Assets!$J:$J,Assets!$B:$B,$A459,Assets!$R:$R,"Yes"),0))</f>
        <v/>
      </c>
      <c r="G459" s="9">
        <f>IF(OR($A459="",I459=""),"",MAX(0,(I459-J459)/IF(IFERROR(XLOOKUP($A459,RetirementPlan!$B:$B,RetirementPlan!$M:$M,""),"")="",SWR,IFERROR(XLOOKUP($A459,RetirementPlan!$B:$B,RetirementPlan!$M:$M,""),""))))</f>
        <v/>
      </c>
      <c r="H459" s="9">
        <f>IF(OR($A459="",F459="",G459=""),"",F459-G459)</f>
        <v/>
      </c>
      <c r="I459" s="9">
        <f>IF($A459="","",XLOOKUP($A459,RetirementPlan!$B:$B,RetirementPlan!$E:$E,""))</f>
        <v/>
      </c>
      <c r="J459" s="9">
        <f>IF($A459="","",N(XLOOKUP($A459,RetirementPlan!$B:$B,RetirementPlan!$G:$G,0))+N(XLOOKUP($A459,RetirementPlan!$B:$B,RetirementPlan!$H:$H,0)))</f>
        <v/>
      </c>
      <c r="K459">
        <f>IF($A459="","",IF(NOT(ISBLANK(XLOOKUP($A459,RetirementPlan!$B:$B,RetirementPlan!$N:$N,""))),XLOOKUP($A459,RetirementPlan!$B:$B,RetirementPlan!$N:$N,""),LET(cid,$A459,c,FILTER(LocationPlan!$D:$D,LocationPlan!$C:$C=cid),p,FILTER(LocationPlan!$E:$E,LocationPlan!$C:$C=cid),IFERROR(INDEX(c,MATCH(MAX(p),p,0)),""))))</f>
        <v/>
      </c>
    </row>
    <row r="460">
      <c r="B460">
        <f>IF($A460="","",XLOOKUP($A460,Clients!$A:$A,Clients!$D:$D)&amp;" "&amp;XLOOKUP($A460,Clients!$A:$A,Clients!$E:$E))</f>
        <v/>
      </c>
      <c r="C460">
        <f>IF($A460="","",DATEDIF(XLOOKUP($A460,Clients!$A:$A,Clients!$F:$F),VAL_DATE,"Y"))</f>
        <v/>
      </c>
      <c r="D460">
        <f>IF(OR($A460="",E460=""),"",E460-C460)</f>
        <v/>
      </c>
      <c r="E460">
        <f>IF($A460="","",XLOOKUP($A460,RetirementPlan!$B:$B,RetirementPlan!$C:$C,""))</f>
        <v/>
      </c>
      <c r="F460" s="9">
        <f>IF(OR($A460="",D460=""),"",FV(IF(IFERROR(XLOOKUP($A460,RetirementPlan!$B:$B,RetirementPlan!$K:$K,""),"")="",GROWTH,IFERROR(XLOOKUP($A460,RetirementPlan!$B:$B,RetirementPlan!$K:$K,""),"")),D460,-N(XLOOKUP($A460,RetirementPlan!$B:$B,RetirementPlan!$I:$I,0)),-SUMIFS(Assets!$J:$J,Assets!$B:$B,$A460,Assets!$R:$R,"Yes"),0))</f>
        <v/>
      </c>
      <c r="G460" s="9">
        <f>IF(OR($A460="",I460=""),"",MAX(0,(I460-J460)/IF(IFERROR(XLOOKUP($A460,RetirementPlan!$B:$B,RetirementPlan!$M:$M,""),"")="",SWR,IFERROR(XLOOKUP($A460,RetirementPlan!$B:$B,RetirementPlan!$M:$M,""),""))))</f>
        <v/>
      </c>
      <c r="H460" s="9">
        <f>IF(OR($A460="",F460="",G460=""),"",F460-G460)</f>
        <v/>
      </c>
      <c r="I460" s="9">
        <f>IF($A460="","",XLOOKUP($A460,RetirementPlan!$B:$B,RetirementPlan!$E:$E,""))</f>
        <v/>
      </c>
      <c r="J460" s="9">
        <f>IF($A460="","",N(XLOOKUP($A460,RetirementPlan!$B:$B,RetirementPlan!$G:$G,0))+N(XLOOKUP($A460,RetirementPlan!$B:$B,RetirementPlan!$H:$H,0)))</f>
        <v/>
      </c>
      <c r="K460">
        <f>IF($A460="","",IF(NOT(ISBLANK(XLOOKUP($A460,RetirementPlan!$B:$B,RetirementPlan!$N:$N,""))),XLOOKUP($A460,RetirementPlan!$B:$B,RetirementPlan!$N:$N,""),LET(cid,$A460,c,FILTER(LocationPlan!$D:$D,LocationPlan!$C:$C=cid),p,FILTER(LocationPlan!$E:$E,LocationPlan!$C:$C=cid),IFERROR(INDEX(c,MATCH(MAX(p),p,0)),""))))</f>
        <v/>
      </c>
    </row>
    <row r="461">
      <c r="B461">
        <f>IF($A461="","",XLOOKUP($A461,Clients!$A:$A,Clients!$D:$D)&amp;" "&amp;XLOOKUP($A461,Clients!$A:$A,Clients!$E:$E))</f>
        <v/>
      </c>
      <c r="C461">
        <f>IF($A461="","",DATEDIF(XLOOKUP($A461,Clients!$A:$A,Clients!$F:$F),VAL_DATE,"Y"))</f>
        <v/>
      </c>
      <c r="D461">
        <f>IF(OR($A461="",E461=""),"",E461-C461)</f>
        <v/>
      </c>
      <c r="E461">
        <f>IF($A461="","",XLOOKUP($A461,RetirementPlan!$B:$B,RetirementPlan!$C:$C,""))</f>
        <v/>
      </c>
      <c r="F461" s="9">
        <f>IF(OR($A461="",D461=""),"",FV(IF(IFERROR(XLOOKUP($A461,RetirementPlan!$B:$B,RetirementPlan!$K:$K,""),"")="",GROWTH,IFERROR(XLOOKUP($A461,RetirementPlan!$B:$B,RetirementPlan!$K:$K,""),"")),D461,-N(XLOOKUP($A461,RetirementPlan!$B:$B,RetirementPlan!$I:$I,0)),-SUMIFS(Assets!$J:$J,Assets!$B:$B,$A461,Assets!$R:$R,"Yes"),0))</f>
        <v/>
      </c>
      <c r="G461" s="9">
        <f>IF(OR($A461="",I461=""),"",MAX(0,(I461-J461)/IF(IFERROR(XLOOKUP($A461,RetirementPlan!$B:$B,RetirementPlan!$M:$M,""),"")="",SWR,IFERROR(XLOOKUP($A461,RetirementPlan!$B:$B,RetirementPlan!$M:$M,""),""))))</f>
        <v/>
      </c>
      <c r="H461" s="9">
        <f>IF(OR($A461="",F461="",G461=""),"",F461-G461)</f>
        <v/>
      </c>
      <c r="I461" s="9">
        <f>IF($A461="","",XLOOKUP($A461,RetirementPlan!$B:$B,RetirementPlan!$E:$E,""))</f>
        <v/>
      </c>
      <c r="J461" s="9">
        <f>IF($A461="","",N(XLOOKUP($A461,RetirementPlan!$B:$B,RetirementPlan!$G:$G,0))+N(XLOOKUP($A461,RetirementPlan!$B:$B,RetirementPlan!$H:$H,0)))</f>
        <v/>
      </c>
      <c r="K461">
        <f>IF($A461="","",IF(NOT(ISBLANK(XLOOKUP($A461,RetirementPlan!$B:$B,RetirementPlan!$N:$N,""))),XLOOKUP($A461,RetirementPlan!$B:$B,RetirementPlan!$N:$N,""),LET(cid,$A461,c,FILTER(LocationPlan!$D:$D,LocationPlan!$C:$C=cid),p,FILTER(LocationPlan!$E:$E,LocationPlan!$C:$C=cid),IFERROR(INDEX(c,MATCH(MAX(p),p,0)),""))))</f>
        <v/>
      </c>
    </row>
    <row r="462">
      <c r="B462">
        <f>IF($A462="","",XLOOKUP($A462,Clients!$A:$A,Clients!$D:$D)&amp;" "&amp;XLOOKUP($A462,Clients!$A:$A,Clients!$E:$E))</f>
        <v/>
      </c>
      <c r="C462">
        <f>IF($A462="","",DATEDIF(XLOOKUP($A462,Clients!$A:$A,Clients!$F:$F),VAL_DATE,"Y"))</f>
        <v/>
      </c>
      <c r="D462">
        <f>IF(OR($A462="",E462=""),"",E462-C462)</f>
        <v/>
      </c>
      <c r="E462">
        <f>IF($A462="","",XLOOKUP($A462,RetirementPlan!$B:$B,RetirementPlan!$C:$C,""))</f>
        <v/>
      </c>
      <c r="F462" s="9">
        <f>IF(OR($A462="",D462=""),"",FV(IF(IFERROR(XLOOKUP($A462,RetirementPlan!$B:$B,RetirementPlan!$K:$K,""),"")="",GROWTH,IFERROR(XLOOKUP($A462,RetirementPlan!$B:$B,RetirementPlan!$K:$K,""),"")),D462,-N(XLOOKUP($A462,RetirementPlan!$B:$B,RetirementPlan!$I:$I,0)),-SUMIFS(Assets!$J:$J,Assets!$B:$B,$A462,Assets!$R:$R,"Yes"),0))</f>
        <v/>
      </c>
      <c r="G462" s="9">
        <f>IF(OR($A462="",I462=""),"",MAX(0,(I462-J462)/IF(IFERROR(XLOOKUP($A462,RetirementPlan!$B:$B,RetirementPlan!$M:$M,""),"")="",SWR,IFERROR(XLOOKUP($A462,RetirementPlan!$B:$B,RetirementPlan!$M:$M,""),""))))</f>
        <v/>
      </c>
      <c r="H462" s="9">
        <f>IF(OR($A462="",F462="",G462=""),"",F462-G462)</f>
        <v/>
      </c>
      <c r="I462" s="9">
        <f>IF($A462="","",XLOOKUP($A462,RetirementPlan!$B:$B,RetirementPlan!$E:$E,""))</f>
        <v/>
      </c>
      <c r="J462" s="9">
        <f>IF($A462="","",N(XLOOKUP($A462,RetirementPlan!$B:$B,RetirementPlan!$G:$G,0))+N(XLOOKUP($A462,RetirementPlan!$B:$B,RetirementPlan!$H:$H,0)))</f>
        <v/>
      </c>
      <c r="K462">
        <f>IF($A462="","",IF(NOT(ISBLANK(XLOOKUP($A462,RetirementPlan!$B:$B,RetirementPlan!$N:$N,""))),XLOOKUP($A462,RetirementPlan!$B:$B,RetirementPlan!$N:$N,""),LET(cid,$A462,c,FILTER(LocationPlan!$D:$D,LocationPlan!$C:$C=cid),p,FILTER(LocationPlan!$E:$E,LocationPlan!$C:$C=cid),IFERROR(INDEX(c,MATCH(MAX(p),p,0)),""))))</f>
        <v/>
      </c>
    </row>
    <row r="463">
      <c r="B463">
        <f>IF($A463="","",XLOOKUP($A463,Clients!$A:$A,Clients!$D:$D)&amp;" "&amp;XLOOKUP($A463,Clients!$A:$A,Clients!$E:$E))</f>
        <v/>
      </c>
      <c r="C463">
        <f>IF($A463="","",DATEDIF(XLOOKUP($A463,Clients!$A:$A,Clients!$F:$F),VAL_DATE,"Y"))</f>
        <v/>
      </c>
      <c r="D463">
        <f>IF(OR($A463="",E463=""),"",E463-C463)</f>
        <v/>
      </c>
      <c r="E463">
        <f>IF($A463="","",XLOOKUP($A463,RetirementPlan!$B:$B,RetirementPlan!$C:$C,""))</f>
        <v/>
      </c>
      <c r="F463" s="9">
        <f>IF(OR($A463="",D463=""),"",FV(IF(IFERROR(XLOOKUP($A463,RetirementPlan!$B:$B,RetirementPlan!$K:$K,""),"")="",GROWTH,IFERROR(XLOOKUP($A463,RetirementPlan!$B:$B,RetirementPlan!$K:$K,""),"")),D463,-N(XLOOKUP($A463,RetirementPlan!$B:$B,RetirementPlan!$I:$I,0)),-SUMIFS(Assets!$J:$J,Assets!$B:$B,$A463,Assets!$R:$R,"Yes"),0))</f>
        <v/>
      </c>
      <c r="G463" s="9">
        <f>IF(OR($A463="",I463=""),"",MAX(0,(I463-J463)/IF(IFERROR(XLOOKUP($A463,RetirementPlan!$B:$B,RetirementPlan!$M:$M,""),"")="",SWR,IFERROR(XLOOKUP($A463,RetirementPlan!$B:$B,RetirementPlan!$M:$M,""),""))))</f>
        <v/>
      </c>
      <c r="H463" s="9">
        <f>IF(OR($A463="",F463="",G463=""),"",F463-G463)</f>
        <v/>
      </c>
      <c r="I463" s="9">
        <f>IF($A463="","",XLOOKUP($A463,RetirementPlan!$B:$B,RetirementPlan!$E:$E,""))</f>
        <v/>
      </c>
      <c r="J463" s="9">
        <f>IF($A463="","",N(XLOOKUP($A463,RetirementPlan!$B:$B,RetirementPlan!$G:$G,0))+N(XLOOKUP($A463,RetirementPlan!$B:$B,RetirementPlan!$H:$H,0)))</f>
        <v/>
      </c>
      <c r="K463">
        <f>IF($A463="","",IF(NOT(ISBLANK(XLOOKUP($A463,RetirementPlan!$B:$B,RetirementPlan!$N:$N,""))),XLOOKUP($A463,RetirementPlan!$B:$B,RetirementPlan!$N:$N,""),LET(cid,$A463,c,FILTER(LocationPlan!$D:$D,LocationPlan!$C:$C=cid),p,FILTER(LocationPlan!$E:$E,LocationPlan!$C:$C=cid),IFERROR(INDEX(c,MATCH(MAX(p),p,0)),""))))</f>
        <v/>
      </c>
    </row>
    <row r="464">
      <c r="B464">
        <f>IF($A464="","",XLOOKUP($A464,Clients!$A:$A,Clients!$D:$D)&amp;" "&amp;XLOOKUP($A464,Clients!$A:$A,Clients!$E:$E))</f>
        <v/>
      </c>
      <c r="C464">
        <f>IF($A464="","",DATEDIF(XLOOKUP($A464,Clients!$A:$A,Clients!$F:$F),VAL_DATE,"Y"))</f>
        <v/>
      </c>
      <c r="D464">
        <f>IF(OR($A464="",E464=""),"",E464-C464)</f>
        <v/>
      </c>
      <c r="E464">
        <f>IF($A464="","",XLOOKUP($A464,RetirementPlan!$B:$B,RetirementPlan!$C:$C,""))</f>
        <v/>
      </c>
      <c r="F464" s="9">
        <f>IF(OR($A464="",D464=""),"",FV(IF(IFERROR(XLOOKUP($A464,RetirementPlan!$B:$B,RetirementPlan!$K:$K,""),"")="",GROWTH,IFERROR(XLOOKUP($A464,RetirementPlan!$B:$B,RetirementPlan!$K:$K,""),"")),D464,-N(XLOOKUP($A464,RetirementPlan!$B:$B,RetirementPlan!$I:$I,0)),-SUMIFS(Assets!$J:$J,Assets!$B:$B,$A464,Assets!$R:$R,"Yes"),0))</f>
        <v/>
      </c>
      <c r="G464" s="9">
        <f>IF(OR($A464="",I464=""),"",MAX(0,(I464-J464)/IF(IFERROR(XLOOKUP($A464,RetirementPlan!$B:$B,RetirementPlan!$M:$M,""),"")="",SWR,IFERROR(XLOOKUP($A464,RetirementPlan!$B:$B,RetirementPlan!$M:$M,""),""))))</f>
        <v/>
      </c>
      <c r="H464" s="9">
        <f>IF(OR($A464="",F464="",G464=""),"",F464-G464)</f>
        <v/>
      </c>
      <c r="I464" s="9">
        <f>IF($A464="","",XLOOKUP($A464,RetirementPlan!$B:$B,RetirementPlan!$E:$E,""))</f>
        <v/>
      </c>
      <c r="J464" s="9">
        <f>IF($A464="","",N(XLOOKUP($A464,RetirementPlan!$B:$B,RetirementPlan!$G:$G,0))+N(XLOOKUP($A464,RetirementPlan!$B:$B,RetirementPlan!$H:$H,0)))</f>
        <v/>
      </c>
      <c r="K464">
        <f>IF($A464="","",IF(NOT(ISBLANK(XLOOKUP($A464,RetirementPlan!$B:$B,RetirementPlan!$N:$N,""))),XLOOKUP($A464,RetirementPlan!$B:$B,RetirementPlan!$N:$N,""),LET(cid,$A464,c,FILTER(LocationPlan!$D:$D,LocationPlan!$C:$C=cid),p,FILTER(LocationPlan!$E:$E,LocationPlan!$C:$C=cid),IFERROR(INDEX(c,MATCH(MAX(p),p,0)),""))))</f>
        <v/>
      </c>
    </row>
    <row r="465">
      <c r="B465">
        <f>IF($A465="","",XLOOKUP($A465,Clients!$A:$A,Clients!$D:$D)&amp;" "&amp;XLOOKUP($A465,Clients!$A:$A,Clients!$E:$E))</f>
        <v/>
      </c>
      <c r="C465">
        <f>IF($A465="","",DATEDIF(XLOOKUP($A465,Clients!$A:$A,Clients!$F:$F),VAL_DATE,"Y"))</f>
        <v/>
      </c>
      <c r="D465">
        <f>IF(OR($A465="",E465=""),"",E465-C465)</f>
        <v/>
      </c>
      <c r="E465">
        <f>IF($A465="","",XLOOKUP($A465,RetirementPlan!$B:$B,RetirementPlan!$C:$C,""))</f>
        <v/>
      </c>
      <c r="F465" s="9">
        <f>IF(OR($A465="",D465=""),"",FV(IF(IFERROR(XLOOKUP($A465,RetirementPlan!$B:$B,RetirementPlan!$K:$K,""),"")="",GROWTH,IFERROR(XLOOKUP($A465,RetirementPlan!$B:$B,RetirementPlan!$K:$K,""),"")),D465,-N(XLOOKUP($A465,RetirementPlan!$B:$B,RetirementPlan!$I:$I,0)),-SUMIFS(Assets!$J:$J,Assets!$B:$B,$A465,Assets!$R:$R,"Yes"),0))</f>
        <v/>
      </c>
      <c r="G465" s="9">
        <f>IF(OR($A465="",I465=""),"",MAX(0,(I465-J465)/IF(IFERROR(XLOOKUP($A465,RetirementPlan!$B:$B,RetirementPlan!$M:$M,""),"")="",SWR,IFERROR(XLOOKUP($A465,RetirementPlan!$B:$B,RetirementPlan!$M:$M,""),""))))</f>
        <v/>
      </c>
      <c r="H465" s="9">
        <f>IF(OR($A465="",F465="",G465=""),"",F465-G465)</f>
        <v/>
      </c>
      <c r="I465" s="9">
        <f>IF($A465="","",XLOOKUP($A465,RetirementPlan!$B:$B,RetirementPlan!$E:$E,""))</f>
        <v/>
      </c>
      <c r="J465" s="9">
        <f>IF($A465="","",N(XLOOKUP($A465,RetirementPlan!$B:$B,RetirementPlan!$G:$G,0))+N(XLOOKUP($A465,RetirementPlan!$B:$B,RetirementPlan!$H:$H,0)))</f>
        <v/>
      </c>
      <c r="K465">
        <f>IF($A465="","",IF(NOT(ISBLANK(XLOOKUP($A465,RetirementPlan!$B:$B,RetirementPlan!$N:$N,""))),XLOOKUP($A465,RetirementPlan!$B:$B,RetirementPlan!$N:$N,""),LET(cid,$A465,c,FILTER(LocationPlan!$D:$D,LocationPlan!$C:$C=cid),p,FILTER(LocationPlan!$E:$E,LocationPlan!$C:$C=cid),IFERROR(INDEX(c,MATCH(MAX(p),p,0)),""))))</f>
        <v/>
      </c>
    </row>
    <row r="466">
      <c r="B466">
        <f>IF($A466="","",XLOOKUP($A466,Clients!$A:$A,Clients!$D:$D)&amp;" "&amp;XLOOKUP($A466,Clients!$A:$A,Clients!$E:$E))</f>
        <v/>
      </c>
      <c r="C466">
        <f>IF($A466="","",DATEDIF(XLOOKUP($A466,Clients!$A:$A,Clients!$F:$F),VAL_DATE,"Y"))</f>
        <v/>
      </c>
      <c r="D466">
        <f>IF(OR($A466="",E466=""),"",E466-C466)</f>
        <v/>
      </c>
      <c r="E466">
        <f>IF($A466="","",XLOOKUP($A466,RetirementPlan!$B:$B,RetirementPlan!$C:$C,""))</f>
        <v/>
      </c>
      <c r="F466" s="9">
        <f>IF(OR($A466="",D466=""),"",FV(IF(IFERROR(XLOOKUP($A466,RetirementPlan!$B:$B,RetirementPlan!$K:$K,""),"")="",GROWTH,IFERROR(XLOOKUP($A466,RetirementPlan!$B:$B,RetirementPlan!$K:$K,""),"")),D466,-N(XLOOKUP($A466,RetirementPlan!$B:$B,RetirementPlan!$I:$I,0)),-SUMIFS(Assets!$J:$J,Assets!$B:$B,$A466,Assets!$R:$R,"Yes"),0))</f>
        <v/>
      </c>
      <c r="G466" s="9">
        <f>IF(OR($A466="",I466=""),"",MAX(0,(I466-J466)/IF(IFERROR(XLOOKUP($A466,RetirementPlan!$B:$B,RetirementPlan!$M:$M,""),"")="",SWR,IFERROR(XLOOKUP($A466,RetirementPlan!$B:$B,RetirementPlan!$M:$M,""),""))))</f>
        <v/>
      </c>
      <c r="H466" s="9">
        <f>IF(OR($A466="",F466="",G466=""),"",F466-G466)</f>
        <v/>
      </c>
      <c r="I466" s="9">
        <f>IF($A466="","",XLOOKUP($A466,RetirementPlan!$B:$B,RetirementPlan!$E:$E,""))</f>
        <v/>
      </c>
      <c r="J466" s="9">
        <f>IF($A466="","",N(XLOOKUP($A466,RetirementPlan!$B:$B,RetirementPlan!$G:$G,0))+N(XLOOKUP($A466,RetirementPlan!$B:$B,RetirementPlan!$H:$H,0)))</f>
        <v/>
      </c>
      <c r="K466">
        <f>IF($A466="","",IF(NOT(ISBLANK(XLOOKUP($A466,RetirementPlan!$B:$B,RetirementPlan!$N:$N,""))),XLOOKUP($A466,RetirementPlan!$B:$B,RetirementPlan!$N:$N,""),LET(cid,$A466,c,FILTER(LocationPlan!$D:$D,LocationPlan!$C:$C=cid),p,FILTER(LocationPlan!$E:$E,LocationPlan!$C:$C=cid),IFERROR(INDEX(c,MATCH(MAX(p),p,0)),""))))</f>
        <v/>
      </c>
    </row>
    <row r="467">
      <c r="B467">
        <f>IF($A467="","",XLOOKUP($A467,Clients!$A:$A,Clients!$D:$D)&amp;" "&amp;XLOOKUP($A467,Clients!$A:$A,Clients!$E:$E))</f>
        <v/>
      </c>
      <c r="C467">
        <f>IF($A467="","",DATEDIF(XLOOKUP($A467,Clients!$A:$A,Clients!$F:$F),VAL_DATE,"Y"))</f>
        <v/>
      </c>
      <c r="D467">
        <f>IF(OR($A467="",E467=""),"",E467-C467)</f>
        <v/>
      </c>
      <c r="E467">
        <f>IF($A467="","",XLOOKUP($A467,RetirementPlan!$B:$B,RetirementPlan!$C:$C,""))</f>
        <v/>
      </c>
      <c r="F467" s="9">
        <f>IF(OR($A467="",D467=""),"",FV(IF(IFERROR(XLOOKUP($A467,RetirementPlan!$B:$B,RetirementPlan!$K:$K,""),"")="",GROWTH,IFERROR(XLOOKUP($A467,RetirementPlan!$B:$B,RetirementPlan!$K:$K,""),"")),D467,-N(XLOOKUP($A467,RetirementPlan!$B:$B,RetirementPlan!$I:$I,0)),-SUMIFS(Assets!$J:$J,Assets!$B:$B,$A467,Assets!$R:$R,"Yes"),0))</f>
        <v/>
      </c>
      <c r="G467" s="9">
        <f>IF(OR($A467="",I467=""),"",MAX(0,(I467-J467)/IF(IFERROR(XLOOKUP($A467,RetirementPlan!$B:$B,RetirementPlan!$M:$M,""),"")="",SWR,IFERROR(XLOOKUP($A467,RetirementPlan!$B:$B,RetirementPlan!$M:$M,""),""))))</f>
        <v/>
      </c>
      <c r="H467" s="9">
        <f>IF(OR($A467="",F467="",G467=""),"",F467-G467)</f>
        <v/>
      </c>
      <c r="I467" s="9">
        <f>IF($A467="","",XLOOKUP($A467,RetirementPlan!$B:$B,RetirementPlan!$E:$E,""))</f>
        <v/>
      </c>
      <c r="J467" s="9">
        <f>IF($A467="","",N(XLOOKUP($A467,RetirementPlan!$B:$B,RetirementPlan!$G:$G,0))+N(XLOOKUP($A467,RetirementPlan!$B:$B,RetirementPlan!$H:$H,0)))</f>
        <v/>
      </c>
      <c r="K467">
        <f>IF($A467="","",IF(NOT(ISBLANK(XLOOKUP($A467,RetirementPlan!$B:$B,RetirementPlan!$N:$N,""))),XLOOKUP($A467,RetirementPlan!$B:$B,RetirementPlan!$N:$N,""),LET(cid,$A467,c,FILTER(LocationPlan!$D:$D,LocationPlan!$C:$C=cid),p,FILTER(LocationPlan!$E:$E,LocationPlan!$C:$C=cid),IFERROR(INDEX(c,MATCH(MAX(p),p,0)),""))))</f>
        <v/>
      </c>
    </row>
    <row r="468">
      <c r="B468">
        <f>IF($A468="","",XLOOKUP($A468,Clients!$A:$A,Clients!$D:$D)&amp;" "&amp;XLOOKUP($A468,Clients!$A:$A,Clients!$E:$E))</f>
        <v/>
      </c>
      <c r="C468">
        <f>IF($A468="","",DATEDIF(XLOOKUP($A468,Clients!$A:$A,Clients!$F:$F),VAL_DATE,"Y"))</f>
        <v/>
      </c>
      <c r="D468">
        <f>IF(OR($A468="",E468=""),"",E468-C468)</f>
        <v/>
      </c>
      <c r="E468">
        <f>IF($A468="","",XLOOKUP($A468,RetirementPlan!$B:$B,RetirementPlan!$C:$C,""))</f>
        <v/>
      </c>
      <c r="F468" s="9">
        <f>IF(OR($A468="",D468=""),"",FV(IF(IFERROR(XLOOKUP($A468,RetirementPlan!$B:$B,RetirementPlan!$K:$K,""),"")="",GROWTH,IFERROR(XLOOKUP($A468,RetirementPlan!$B:$B,RetirementPlan!$K:$K,""),"")),D468,-N(XLOOKUP($A468,RetirementPlan!$B:$B,RetirementPlan!$I:$I,0)),-SUMIFS(Assets!$J:$J,Assets!$B:$B,$A468,Assets!$R:$R,"Yes"),0))</f>
        <v/>
      </c>
      <c r="G468" s="9">
        <f>IF(OR($A468="",I468=""),"",MAX(0,(I468-J468)/IF(IFERROR(XLOOKUP($A468,RetirementPlan!$B:$B,RetirementPlan!$M:$M,""),"")="",SWR,IFERROR(XLOOKUP($A468,RetirementPlan!$B:$B,RetirementPlan!$M:$M,""),""))))</f>
        <v/>
      </c>
      <c r="H468" s="9">
        <f>IF(OR($A468="",F468="",G468=""),"",F468-G468)</f>
        <v/>
      </c>
      <c r="I468" s="9">
        <f>IF($A468="","",XLOOKUP($A468,RetirementPlan!$B:$B,RetirementPlan!$E:$E,""))</f>
        <v/>
      </c>
      <c r="J468" s="9">
        <f>IF($A468="","",N(XLOOKUP($A468,RetirementPlan!$B:$B,RetirementPlan!$G:$G,0))+N(XLOOKUP($A468,RetirementPlan!$B:$B,RetirementPlan!$H:$H,0)))</f>
        <v/>
      </c>
      <c r="K468">
        <f>IF($A468="","",IF(NOT(ISBLANK(XLOOKUP($A468,RetirementPlan!$B:$B,RetirementPlan!$N:$N,""))),XLOOKUP($A468,RetirementPlan!$B:$B,RetirementPlan!$N:$N,""),LET(cid,$A468,c,FILTER(LocationPlan!$D:$D,LocationPlan!$C:$C=cid),p,FILTER(LocationPlan!$E:$E,LocationPlan!$C:$C=cid),IFERROR(INDEX(c,MATCH(MAX(p),p,0)),""))))</f>
        <v/>
      </c>
    </row>
    <row r="469">
      <c r="B469">
        <f>IF($A469="","",XLOOKUP($A469,Clients!$A:$A,Clients!$D:$D)&amp;" "&amp;XLOOKUP($A469,Clients!$A:$A,Clients!$E:$E))</f>
        <v/>
      </c>
      <c r="C469">
        <f>IF($A469="","",DATEDIF(XLOOKUP($A469,Clients!$A:$A,Clients!$F:$F),VAL_DATE,"Y"))</f>
        <v/>
      </c>
      <c r="D469">
        <f>IF(OR($A469="",E469=""),"",E469-C469)</f>
        <v/>
      </c>
      <c r="E469">
        <f>IF($A469="","",XLOOKUP($A469,RetirementPlan!$B:$B,RetirementPlan!$C:$C,""))</f>
        <v/>
      </c>
      <c r="F469" s="9">
        <f>IF(OR($A469="",D469=""),"",FV(IF(IFERROR(XLOOKUP($A469,RetirementPlan!$B:$B,RetirementPlan!$K:$K,""),"")="",GROWTH,IFERROR(XLOOKUP($A469,RetirementPlan!$B:$B,RetirementPlan!$K:$K,""),"")),D469,-N(XLOOKUP($A469,RetirementPlan!$B:$B,RetirementPlan!$I:$I,0)),-SUMIFS(Assets!$J:$J,Assets!$B:$B,$A469,Assets!$R:$R,"Yes"),0))</f>
        <v/>
      </c>
      <c r="G469" s="9">
        <f>IF(OR($A469="",I469=""),"",MAX(0,(I469-J469)/IF(IFERROR(XLOOKUP($A469,RetirementPlan!$B:$B,RetirementPlan!$M:$M,""),"")="",SWR,IFERROR(XLOOKUP($A469,RetirementPlan!$B:$B,RetirementPlan!$M:$M,""),""))))</f>
        <v/>
      </c>
      <c r="H469" s="9">
        <f>IF(OR($A469="",F469="",G469=""),"",F469-G469)</f>
        <v/>
      </c>
      <c r="I469" s="9">
        <f>IF($A469="","",XLOOKUP($A469,RetirementPlan!$B:$B,RetirementPlan!$E:$E,""))</f>
        <v/>
      </c>
      <c r="J469" s="9">
        <f>IF($A469="","",N(XLOOKUP($A469,RetirementPlan!$B:$B,RetirementPlan!$G:$G,0))+N(XLOOKUP($A469,RetirementPlan!$B:$B,RetirementPlan!$H:$H,0)))</f>
        <v/>
      </c>
      <c r="K469">
        <f>IF($A469="","",IF(NOT(ISBLANK(XLOOKUP($A469,RetirementPlan!$B:$B,RetirementPlan!$N:$N,""))),XLOOKUP($A469,RetirementPlan!$B:$B,RetirementPlan!$N:$N,""),LET(cid,$A469,c,FILTER(LocationPlan!$D:$D,LocationPlan!$C:$C=cid),p,FILTER(LocationPlan!$E:$E,LocationPlan!$C:$C=cid),IFERROR(INDEX(c,MATCH(MAX(p),p,0)),""))))</f>
        <v/>
      </c>
    </row>
    <row r="470">
      <c r="B470">
        <f>IF($A470="","",XLOOKUP($A470,Clients!$A:$A,Clients!$D:$D)&amp;" "&amp;XLOOKUP($A470,Clients!$A:$A,Clients!$E:$E))</f>
        <v/>
      </c>
      <c r="C470">
        <f>IF($A470="","",DATEDIF(XLOOKUP($A470,Clients!$A:$A,Clients!$F:$F),VAL_DATE,"Y"))</f>
        <v/>
      </c>
      <c r="D470">
        <f>IF(OR($A470="",E470=""),"",E470-C470)</f>
        <v/>
      </c>
      <c r="E470">
        <f>IF($A470="","",XLOOKUP($A470,RetirementPlan!$B:$B,RetirementPlan!$C:$C,""))</f>
        <v/>
      </c>
      <c r="F470" s="9">
        <f>IF(OR($A470="",D470=""),"",FV(IF(IFERROR(XLOOKUP($A470,RetirementPlan!$B:$B,RetirementPlan!$K:$K,""),"")="",GROWTH,IFERROR(XLOOKUP($A470,RetirementPlan!$B:$B,RetirementPlan!$K:$K,""),"")),D470,-N(XLOOKUP($A470,RetirementPlan!$B:$B,RetirementPlan!$I:$I,0)),-SUMIFS(Assets!$J:$J,Assets!$B:$B,$A470,Assets!$R:$R,"Yes"),0))</f>
        <v/>
      </c>
      <c r="G470" s="9">
        <f>IF(OR($A470="",I470=""),"",MAX(0,(I470-J470)/IF(IFERROR(XLOOKUP($A470,RetirementPlan!$B:$B,RetirementPlan!$M:$M,""),"")="",SWR,IFERROR(XLOOKUP($A470,RetirementPlan!$B:$B,RetirementPlan!$M:$M,""),""))))</f>
        <v/>
      </c>
      <c r="H470" s="9">
        <f>IF(OR($A470="",F470="",G470=""),"",F470-G470)</f>
        <v/>
      </c>
      <c r="I470" s="9">
        <f>IF($A470="","",XLOOKUP($A470,RetirementPlan!$B:$B,RetirementPlan!$E:$E,""))</f>
        <v/>
      </c>
      <c r="J470" s="9">
        <f>IF($A470="","",N(XLOOKUP($A470,RetirementPlan!$B:$B,RetirementPlan!$G:$G,0))+N(XLOOKUP($A470,RetirementPlan!$B:$B,RetirementPlan!$H:$H,0)))</f>
        <v/>
      </c>
      <c r="K470">
        <f>IF($A470="","",IF(NOT(ISBLANK(XLOOKUP($A470,RetirementPlan!$B:$B,RetirementPlan!$N:$N,""))),XLOOKUP($A470,RetirementPlan!$B:$B,RetirementPlan!$N:$N,""),LET(cid,$A470,c,FILTER(LocationPlan!$D:$D,LocationPlan!$C:$C=cid),p,FILTER(LocationPlan!$E:$E,LocationPlan!$C:$C=cid),IFERROR(INDEX(c,MATCH(MAX(p),p,0)),""))))</f>
        <v/>
      </c>
    </row>
    <row r="471">
      <c r="B471">
        <f>IF($A471="","",XLOOKUP($A471,Clients!$A:$A,Clients!$D:$D)&amp;" "&amp;XLOOKUP($A471,Clients!$A:$A,Clients!$E:$E))</f>
        <v/>
      </c>
      <c r="C471">
        <f>IF($A471="","",DATEDIF(XLOOKUP($A471,Clients!$A:$A,Clients!$F:$F),VAL_DATE,"Y"))</f>
        <v/>
      </c>
      <c r="D471">
        <f>IF(OR($A471="",E471=""),"",E471-C471)</f>
        <v/>
      </c>
      <c r="E471">
        <f>IF($A471="","",XLOOKUP($A471,RetirementPlan!$B:$B,RetirementPlan!$C:$C,""))</f>
        <v/>
      </c>
      <c r="F471" s="9">
        <f>IF(OR($A471="",D471=""),"",FV(IF(IFERROR(XLOOKUP($A471,RetirementPlan!$B:$B,RetirementPlan!$K:$K,""),"")="",GROWTH,IFERROR(XLOOKUP($A471,RetirementPlan!$B:$B,RetirementPlan!$K:$K,""),"")),D471,-N(XLOOKUP($A471,RetirementPlan!$B:$B,RetirementPlan!$I:$I,0)),-SUMIFS(Assets!$J:$J,Assets!$B:$B,$A471,Assets!$R:$R,"Yes"),0))</f>
        <v/>
      </c>
      <c r="G471" s="9">
        <f>IF(OR($A471="",I471=""),"",MAX(0,(I471-J471)/IF(IFERROR(XLOOKUP($A471,RetirementPlan!$B:$B,RetirementPlan!$M:$M,""),"")="",SWR,IFERROR(XLOOKUP($A471,RetirementPlan!$B:$B,RetirementPlan!$M:$M,""),""))))</f>
        <v/>
      </c>
      <c r="H471" s="9">
        <f>IF(OR($A471="",F471="",G471=""),"",F471-G471)</f>
        <v/>
      </c>
      <c r="I471" s="9">
        <f>IF($A471="","",XLOOKUP($A471,RetirementPlan!$B:$B,RetirementPlan!$E:$E,""))</f>
        <v/>
      </c>
      <c r="J471" s="9">
        <f>IF($A471="","",N(XLOOKUP($A471,RetirementPlan!$B:$B,RetirementPlan!$G:$G,0))+N(XLOOKUP($A471,RetirementPlan!$B:$B,RetirementPlan!$H:$H,0)))</f>
        <v/>
      </c>
      <c r="K471">
        <f>IF($A471="","",IF(NOT(ISBLANK(XLOOKUP($A471,RetirementPlan!$B:$B,RetirementPlan!$N:$N,""))),XLOOKUP($A471,RetirementPlan!$B:$B,RetirementPlan!$N:$N,""),LET(cid,$A471,c,FILTER(LocationPlan!$D:$D,LocationPlan!$C:$C=cid),p,FILTER(LocationPlan!$E:$E,LocationPlan!$C:$C=cid),IFERROR(INDEX(c,MATCH(MAX(p),p,0)),""))))</f>
        <v/>
      </c>
    </row>
    <row r="472">
      <c r="B472">
        <f>IF($A472="","",XLOOKUP($A472,Clients!$A:$A,Clients!$D:$D)&amp;" "&amp;XLOOKUP($A472,Clients!$A:$A,Clients!$E:$E))</f>
        <v/>
      </c>
      <c r="C472">
        <f>IF($A472="","",DATEDIF(XLOOKUP($A472,Clients!$A:$A,Clients!$F:$F),VAL_DATE,"Y"))</f>
        <v/>
      </c>
      <c r="D472">
        <f>IF(OR($A472="",E472=""),"",E472-C472)</f>
        <v/>
      </c>
      <c r="E472">
        <f>IF($A472="","",XLOOKUP($A472,RetirementPlan!$B:$B,RetirementPlan!$C:$C,""))</f>
        <v/>
      </c>
      <c r="F472" s="9">
        <f>IF(OR($A472="",D472=""),"",FV(IF(IFERROR(XLOOKUP($A472,RetirementPlan!$B:$B,RetirementPlan!$K:$K,""),"")="",GROWTH,IFERROR(XLOOKUP($A472,RetirementPlan!$B:$B,RetirementPlan!$K:$K,""),"")),D472,-N(XLOOKUP($A472,RetirementPlan!$B:$B,RetirementPlan!$I:$I,0)),-SUMIFS(Assets!$J:$J,Assets!$B:$B,$A472,Assets!$R:$R,"Yes"),0))</f>
        <v/>
      </c>
      <c r="G472" s="9">
        <f>IF(OR($A472="",I472=""),"",MAX(0,(I472-J472)/IF(IFERROR(XLOOKUP($A472,RetirementPlan!$B:$B,RetirementPlan!$M:$M,""),"")="",SWR,IFERROR(XLOOKUP($A472,RetirementPlan!$B:$B,RetirementPlan!$M:$M,""),""))))</f>
        <v/>
      </c>
      <c r="H472" s="9">
        <f>IF(OR($A472="",F472="",G472=""),"",F472-G472)</f>
        <v/>
      </c>
      <c r="I472" s="9">
        <f>IF($A472="","",XLOOKUP($A472,RetirementPlan!$B:$B,RetirementPlan!$E:$E,""))</f>
        <v/>
      </c>
      <c r="J472" s="9">
        <f>IF($A472="","",N(XLOOKUP($A472,RetirementPlan!$B:$B,RetirementPlan!$G:$G,0))+N(XLOOKUP($A472,RetirementPlan!$B:$B,RetirementPlan!$H:$H,0)))</f>
        <v/>
      </c>
      <c r="K472">
        <f>IF($A472="","",IF(NOT(ISBLANK(XLOOKUP($A472,RetirementPlan!$B:$B,RetirementPlan!$N:$N,""))),XLOOKUP($A472,RetirementPlan!$B:$B,RetirementPlan!$N:$N,""),LET(cid,$A472,c,FILTER(LocationPlan!$D:$D,LocationPlan!$C:$C=cid),p,FILTER(LocationPlan!$E:$E,LocationPlan!$C:$C=cid),IFERROR(INDEX(c,MATCH(MAX(p),p,0)),""))))</f>
        <v/>
      </c>
    </row>
    <row r="473">
      <c r="B473">
        <f>IF($A473="","",XLOOKUP($A473,Clients!$A:$A,Clients!$D:$D)&amp;" "&amp;XLOOKUP($A473,Clients!$A:$A,Clients!$E:$E))</f>
        <v/>
      </c>
      <c r="C473">
        <f>IF($A473="","",DATEDIF(XLOOKUP($A473,Clients!$A:$A,Clients!$F:$F),VAL_DATE,"Y"))</f>
        <v/>
      </c>
      <c r="D473">
        <f>IF(OR($A473="",E473=""),"",E473-C473)</f>
        <v/>
      </c>
      <c r="E473">
        <f>IF($A473="","",XLOOKUP($A473,RetirementPlan!$B:$B,RetirementPlan!$C:$C,""))</f>
        <v/>
      </c>
      <c r="F473" s="9">
        <f>IF(OR($A473="",D473=""),"",FV(IF(IFERROR(XLOOKUP($A473,RetirementPlan!$B:$B,RetirementPlan!$K:$K,""),"")="",GROWTH,IFERROR(XLOOKUP($A473,RetirementPlan!$B:$B,RetirementPlan!$K:$K,""),"")),D473,-N(XLOOKUP($A473,RetirementPlan!$B:$B,RetirementPlan!$I:$I,0)),-SUMIFS(Assets!$J:$J,Assets!$B:$B,$A473,Assets!$R:$R,"Yes"),0))</f>
        <v/>
      </c>
      <c r="G473" s="9">
        <f>IF(OR($A473="",I473=""),"",MAX(0,(I473-J473)/IF(IFERROR(XLOOKUP($A473,RetirementPlan!$B:$B,RetirementPlan!$M:$M,""),"")="",SWR,IFERROR(XLOOKUP($A473,RetirementPlan!$B:$B,RetirementPlan!$M:$M,""),""))))</f>
        <v/>
      </c>
      <c r="H473" s="9">
        <f>IF(OR($A473="",F473="",G473=""),"",F473-G473)</f>
        <v/>
      </c>
      <c r="I473" s="9">
        <f>IF($A473="","",XLOOKUP($A473,RetirementPlan!$B:$B,RetirementPlan!$E:$E,""))</f>
        <v/>
      </c>
      <c r="J473" s="9">
        <f>IF($A473="","",N(XLOOKUP($A473,RetirementPlan!$B:$B,RetirementPlan!$G:$G,0))+N(XLOOKUP($A473,RetirementPlan!$B:$B,RetirementPlan!$H:$H,0)))</f>
        <v/>
      </c>
      <c r="K473">
        <f>IF($A473="","",IF(NOT(ISBLANK(XLOOKUP($A473,RetirementPlan!$B:$B,RetirementPlan!$N:$N,""))),XLOOKUP($A473,RetirementPlan!$B:$B,RetirementPlan!$N:$N,""),LET(cid,$A473,c,FILTER(LocationPlan!$D:$D,LocationPlan!$C:$C=cid),p,FILTER(LocationPlan!$E:$E,LocationPlan!$C:$C=cid),IFERROR(INDEX(c,MATCH(MAX(p),p,0)),""))))</f>
        <v/>
      </c>
    </row>
    <row r="474">
      <c r="B474">
        <f>IF($A474="","",XLOOKUP($A474,Clients!$A:$A,Clients!$D:$D)&amp;" "&amp;XLOOKUP($A474,Clients!$A:$A,Clients!$E:$E))</f>
        <v/>
      </c>
      <c r="C474">
        <f>IF($A474="","",DATEDIF(XLOOKUP($A474,Clients!$A:$A,Clients!$F:$F),VAL_DATE,"Y"))</f>
        <v/>
      </c>
      <c r="D474">
        <f>IF(OR($A474="",E474=""),"",E474-C474)</f>
        <v/>
      </c>
      <c r="E474">
        <f>IF($A474="","",XLOOKUP($A474,RetirementPlan!$B:$B,RetirementPlan!$C:$C,""))</f>
        <v/>
      </c>
      <c r="F474" s="9">
        <f>IF(OR($A474="",D474=""),"",FV(IF(IFERROR(XLOOKUP($A474,RetirementPlan!$B:$B,RetirementPlan!$K:$K,""),"")="",GROWTH,IFERROR(XLOOKUP($A474,RetirementPlan!$B:$B,RetirementPlan!$K:$K,""),"")),D474,-N(XLOOKUP($A474,RetirementPlan!$B:$B,RetirementPlan!$I:$I,0)),-SUMIFS(Assets!$J:$J,Assets!$B:$B,$A474,Assets!$R:$R,"Yes"),0))</f>
        <v/>
      </c>
      <c r="G474" s="9">
        <f>IF(OR($A474="",I474=""),"",MAX(0,(I474-J474)/IF(IFERROR(XLOOKUP($A474,RetirementPlan!$B:$B,RetirementPlan!$M:$M,""),"")="",SWR,IFERROR(XLOOKUP($A474,RetirementPlan!$B:$B,RetirementPlan!$M:$M,""),""))))</f>
        <v/>
      </c>
      <c r="H474" s="9">
        <f>IF(OR($A474="",F474="",G474=""),"",F474-G474)</f>
        <v/>
      </c>
      <c r="I474" s="9">
        <f>IF($A474="","",XLOOKUP($A474,RetirementPlan!$B:$B,RetirementPlan!$E:$E,""))</f>
        <v/>
      </c>
      <c r="J474" s="9">
        <f>IF($A474="","",N(XLOOKUP($A474,RetirementPlan!$B:$B,RetirementPlan!$G:$G,0))+N(XLOOKUP($A474,RetirementPlan!$B:$B,RetirementPlan!$H:$H,0)))</f>
        <v/>
      </c>
      <c r="K474">
        <f>IF($A474="","",IF(NOT(ISBLANK(XLOOKUP($A474,RetirementPlan!$B:$B,RetirementPlan!$N:$N,""))),XLOOKUP($A474,RetirementPlan!$B:$B,RetirementPlan!$N:$N,""),LET(cid,$A474,c,FILTER(LocationPlan!$D:$D,LocationPlan!$C:$C=cid),p,FILTER(LocationPlan!$E:$E,LocationPlan!$C:$C=cid),IFERROR(INDEX(c,MATCH(MAX(p),p,0)),""))))</f>
        <v/>
      </c>
    </row>
    <row r="475">
      <c r="B475">
        <f>IF($A475="","",XLOOKUP($A475,Clients!$A:$A,Clients!$D:$D)&amp;" "&amp;XLOOKUP($A475,Clients!$A:$A,Clients!$E:$E))</f>
        <v/>
      </c>
      <c r="C475">
        <f>IF($A475="","",DATEDIF(XLOOKUP($A475,Clients!$A:$A,Clients!$F:$F),VAL_DATE,"Y"))</f>
        <v/>
      </c>
      <c r="D475">
        <f>IF(OR($A475="",E475=""),"",E475-C475)</f>
        <v/>
      </c>
      <c r="E475">
        <f>IF($A475="","",XLOOKUP($A475,RetirementPlan!$B:$B,RetirementPlan!$C:$C,""))</f>
        <v/>
      </c>
      <c r="F475" s="9">
        <f>IF(OR($A475="",D475=""),"",FV(IF(IFERROR(XLOOKUP($A475,RetirementPlan!$B:$B,RetirementPlan!$K:$K,""),"")="",GROWTH,IFERROR(XLOOKUP($A475,RetirementPlan!$B:$B,RetirementPlan!$K:$K,""),"")),D475,-N(XLOOKUP($A475,RetirementPlan!$B:$B,RetirementPlan!$I:$I,0)),-SUMIFS(Assets!$J:$J,Assets!$B:$B,$A475,Assets!$R:$R,"Yes"),0))</f>
        <v/>
      </c>
      <c r="G475" s="9">
        <f>IF(OR($A475="",I475=""),"",MAX(0,(I475-J475)/IF(IFERROR(XLOOKUP($A475,RetirementPlan!$B:$B,RetirementPlan!$M:$M,""),"")="",SWR,IFERROR(XLOOKUP($A475,RetirementPlan!$B:$B,RetirementPlan!$M:$M,""),""))))</f>
        <v/>
      </c>
      <c r="H475" s="9">
        <f>IF(OR($A475="",F475="",G475=""),"",F475-G475)</f>
        <v/>
      </c>
      <c r="I475" s="9">
        <f>IF($A475="","",XLOOKUP($A475,RetirementPlan!$B:$B,RetirementPlan!$E:$E,""))</f>
        <v/>
      </c>
      <c r="J475" s="9">
        <f>IF($A475="","",N(XLOOKUP($A475,RetirementPlan!$B:$B,RetirementPlan!$G:$G,0))+N(XLOOKUP($A475,RetirementPlan!$B:$B,RetirementPlan!$H:$H,0)))</f>
        <v/>
      </c>
      <c r="K475">
        <f>IF($A475="","",IF(NOT(ISBLANK(XLOOKUP($A475,RetirementPlan!$B:$B,RetirementPlan!$N:$N,""))),XLOOKUP($A475,RetirementPlan!$B:$B,RetirementPlan!$N:$N,""),LET(cid,$A475,c,FILTER(LocationPlan!$D:$D,LocationPlan!$C:$C=cid),p,FILTER(LocationPlan!$E:$E,LocationPlan!$C:$C=cid),IFERROR(INDEX(c,MATCH(MAX(p),p,0)),""))))</f>
        <v/>
      </c>
    </row>
    <row r="476">
      <c r="B476">
        <f>IF($A476="","",XLOOKUP($A476,Clients!$A:$A,Clients!$D:$D)&amp;" "&amp;XLOOKUP($A476,Clients!$A:$A,Clients!$E:$E))</f>
        <v/>
      </c>
      <c r="C476">
        <f>IF($A476="","",DATEDIF(XLOOKUP($A476,Clients!$A:$A,Clients!$F:$F),VAL_DATE,"Y"))</f>
        <v/>
      </c>
      <c r="D476">
        <f>IF(OR($A476="",E476=""),"",E476-C476)</f>
        <v/>
      </c>
      <c r="E476">
        <f>IF($A476="","",XLOOKUP($A476,RetirementPlan!$B:$B,RetirementPlan!$C:$C,""))</f>
        <v/>
      </c>
      <c r="F476" s="9">
        <f>IF(OR($A476="",D476=""),"",FV(IF(IFERROR(XLOOKUP($A476,RetirementPlan!$B:$B,RetirementPlan!$K:$K,""),"")="",GROWTH,IFERROR(XLOOKUP($A476,RetirementPlan!$B:$B,RetirementPlan!$K:$K,""),"")),D476,-N(XLOOKUP($A476,RetirementPlan!$B:$B,RetirementPlan!$I:$I,0)),-SUMIFS(Assets!$J:$J,Assets!$B:$B,$A476,Assets!$R:$R,"Yes"),0))</f>
        <v/>
      </c>
      <c r="G476" s="9">
        <f>IF(OR($A476="",I476=""),"",MAX(0,(I476-J476)/IF(IFERROR(XLOOKUP($A476,RetirementPlan!$B:$B,RetirementPlan!$M:$M,""),"")="",SWR,IFERROR(XLOOKUP($A476,RetirementPlan!$B:$B,RetirementPlan!$M:$M,""),""))))</f>
        <v/>
      </c>
      <c r="H476" s="9">
        <f>IF(OR($A476="",F476="",G476=""),"",F476-G476)</f>
        <v/>
      </c>
      <c r="I476" s="9">
        <f>IF($A476="","",XLOOKUP($A476,RetirementPlan!$B:$B,RetirementPlan!$E:$E,""))</f>
        <v/>
      </c>
      <c r="J476" s="9">
        <f>IF($A476="","",N(XLOOKUP($A476,RetirementPlan!$B:$B,RetirementPlan!$G:$G,0))+N(XLOOKUP($A476,RetirementPlan!$B:$B,RetirementPlan!$H:$H,0)))</f>
        <v/>
      </c>
      <c r="K476">
        <f>IF($A476="","",IF(NOT(ISBLANK(XLOOKUP($A476,RetirementPlan!$B:$B,RetirementPlan!$N:$N,""))),XLOOKUP($A476,RetirementPlan!$B:$B,RetirementPlan!$N:$N,""),LET(cid,$A476,c,FILTER(LocationPlan!$D:$D,LocationPlan!$C:$C=cid),p,FILTER(LocationPlan!$E:$E,LocationPlan!$C:$C=cid),IFERROR(INDEX(c,MATCH(MAX(p),p,0)),""))))</f>
        <v/>
      </c>
    </row>
    <row r="477">
      <c r="B477">
        <f>IF($A477="","",XLOOKUP($A477,Clients!$A:$A,Clients!$D:$D)&amp;" "&amp;XLOOKUP($A477,Clients!$A:$A,Clients!$E:$E))</f>
        <v/>
      </c>
      <c r="C477">
        <f>IF($A477="","",DATEDIF(XLOOKUP($A477,Clients!$A:$A,Clients!$F:$F),VAL_DATE,"Y"))</f>
        <v/>
      </c>
      <c r="D477">
        <f>IF(OR($A477="",E477=""),"",E477-C477)</f>
        <v/>
      </c>
      <c r="E477">
        <f>IF($A477="","",XLOOKUP($A477,RetirementPlan!$B:$B,RetirementPlan!$C:$C,""))</f>
        <v/>
      </c>
      <c r="F477" s="9">
        <f>IF(OR($A477="",D477=""),"",FV(IF(IFERROR(XLOOKUP($A477,RetirementPlan!$B:$B,RetirementPlan!$K:$K,""),"")="",GROWTH,IFERROR(XLOOKUP($A477,RetirementPlan!$B:$B,RetirementPlan!$K:$K,""),"")),D477,-N(XLOOKUP($A477,RetirementPlan!$B:$B,RetirementPlan!$I:$I,0)),-SUMIFS(Assets!$J:$J,Assets!$B:$B,$A477,Assets!$R:$R,"Yes"),0))</f>
        <v/>
      </c>
      <c r="G477" s="9">
        <f>IF(OR($A477="",I477=""),"",MAX(0,(I477-J477)/IF(IFERROR(XLOOKUP($A477,RetirementPlan!$B:$B,RetirementPlan!$M:$M,""),"")="",SWR,IFERROR(XLOOKUP($A477,RetirementPlan!$B:$B,RetirementPlan!$M:$M,""),""))))</f>
        <v/>
      </c>
      <c r="H477" s="9">
        <f>IF(OR($A477="",F477="",G477=""),"",F477-G477)</f>
        <v/>
      </c>
      <c r="I477" s="9">
        <f>IF($A477="","",XLOOKUP($A477,RetirementPlan!$B:$B,RetirementPlan!$E:$E,""))</f>
        <v/>
      </c>
      <c r="J477" s="9">
        <f>IF($A477="","",N(XLOOKUP($A477,RetirementPlan!$B:$B,RetirementPlan!$G:$G,0))+N(XLOOKUP($A477,RetirementPlan!$B:$B,RetirementPlan!$H:$H,0)))</f>
        <v/>
      </c>
      <c r="K477">
        <f>IF($A477="","",IF(NOT(ISBLANK(XLOOKUP($A477,RetirementPlan!$B:$B,RetirementPlan!$N:$N,""))),XLOOKUP($A477,RetirementPlan!$B:$B,RetirementPlan!$N:$N,""),LET(cid,$A477,c,FILTER(LocationPlan!$D:$D,LocationPlan!$C:$C=cid),p,FILTER(LocationPlan!$E:$E,LocationPlan!$C:$C=cid),IFERROR(INDEX(c,MATCH(MAX(p),p,0)),""))))</f>
        <v/>
      </c>
    </row>
    <row r="478">
      <c r="B478">
        <f>IF($A478="","",XLOOKUP($A478,Clients!$A:$A,Clients!$D:$D)&amp;" "&amp;XLOOKUP($A478,Clients!$A:$A,Clients!$E:$E))</f>
        <v/>
      </c>
      <c r="C478">
        <f>IF($A478="","",DATEDIF(XLOOKUP($A478,Clients!$A:$A,Clients!$F:$F),VAL_DATE,"Y"))</f>
        <v/>
      </c>
      <c r="D478">
        <f>IF(OR($A478="",E478=""),"",E478-C478)</f>
        <v/>
      </c>
      <c r="E478">
        <f>IF($A478="","",XLOOKUP($A478,RetirementPlan!$B:$B,RetirementPlan!$C:$C,""))</f>
        <v/>
      </c>
      <c r="F478" s="9">
        <f>IF(OR($A478="",D478=""),"",FV(IF(IFERROR(XLOOKUP($A478,RetirementPlan!$B:$B,RetirementPlan!$K:$K,""),"")="",GROWTH,IFERROR(XLOOKUP($A478,RetirementPlan!$B:$B,RetirementPlan!$K:$K,""),"")),D478,-N(XLOOKUP($A478,RetirementPlan!$B:$B,RetirementPlan!$I:$I,0)),-SUMIFS(Assets!$J:$J,Assets!$B:$B,$A478,Assets!$R:$R,"Yes"),0))</f>
        <v/>
      </c>
      <c r="G478" s="9">
        <f>IF(OR($A478="",I478=""),"",MAX(0,(I478-J478)/IF(IFERROR(XLOOKUP($A478,RetirementPlan!$B:$B,RetirementPlan!$M:$M,""),"")="",SWR,IFERROR(XLOOKUP($A478,RetirementPlan!$B:$B,RetirementPlan!$M:$M,""),""))))</f>
        <v/>
      </c>
      <c r="H478" s="9">
        <f>IF(OR($A478="",F478="",G478=""),"",F478-G478)</f>
        <v/>
      </c>
      <c r="I478" s="9">
        <f>IF($A478="","",XLOOKUP($A478,RetirementPlan!$B:$B,RetirementPlan!$E:$E,""))</f>
        <v/>
      </c>
      <c r="J478" s="9">
        <f>IF($A478="","",N(XLOOKUP($A478,RetirementPlan!$B:$B,RetirementPlan!$G:$G,0))+N(XLOOKUP($A478,RetirementPlan!$B:$B,RetirementPlan!$H:$H,0)))</f>
        <v/>
      </c>
      <c r="K478">
        <f>IF($A478="","",IF(NOT(ISBLANK(XLOOKUP($A478,RetirementPlan!$B:$B,RetirementPlan!$N:$N,""))),XLOOKUP($A478,RetirementPlan!$B:$B,RetirementPlan!$N:$N,""),LET(cid,$A478,c,FILTER(LocationPlan!$D:$D,LocationPlan!$C:$C=cid),p,FILTER(LocationPlan!$E:$E,LocationPlan!$C:$C=cid),IFERROR(INDEX(c,MATCH(MAX(p),p,0)),""))))</f>
        <v/>
      </c>
    </row>
    <row r="479">
      <c r="B479">
        <f>IF($A479="","",XLOOKUP($A479,Clients!$A:$A,Clients!$D:$D)&amp;" "&amp;XLOOKUP($A479,Clients!$A:$A,Clients!$E:$E))</f>
        <v/>
      </c>
      <c r="C479">
        <f>IF($A479="","",DATEDIF(XLOOKUP($A479,Clients!$A:$A,Clients!$F:$F),VAL_DATE,"Y"))</f>
        <v/>
      </c>
      <c r="D479">
        <f>IF(OR($A479="",E479=""),"",E479-C479)</f>
        <v/>
      </c>
      <c r="E479">
        <f>IF($A479="","",XLOOKUP($A479,RetirementPlan!$B:$B,RetirementPlan!$C:$C,""))</f>
        <v/>
      </c>
      <c r="F479" s="9">
        <f>IF(OR($A479="",D479=""),"",FV(IF(IFERROR(XLOOKUP($A479,RetirementPlan!$B:$B,RetirementPlan!$K:$K,""),"")="",GROWTH,IFERROR(XLOOKUP($A479,RetirementPlan!$B:$B,RetirementPlan!$K:$K,""),"")),D479,-N(XLOOKUP($A479,RetirementPlan!$B:$B,RetirementPlan!$I:$I,0)),-SUMIFS(Assets!$J:$J,Assets!$B:$B,$A479,Assets!$R:$R,"Yes"),0))</f>
        <v/>
      </c>
      <c r="G479" s="9">
        <f>IF(OR($A479="",I479=""),"",MAX(0,(I479-J479)/IF(IFERROR(XLOOKUP($A479,RetirementPlan!$B:$B,RetirementPlan!$M:$M,""),"")="",SWR,IFERROR(XLOOKUP($A479,RetirementPlan!$B:$B,RetirementPlan!$M:$M,""),""))))</f>
        <v/>
      </c>
      <c r="H479" s="9">
        <f>IF(OR($A479="",F479="",G479=""),"",F479-G479)</f>
        <v/>
      </c>
      <c r="I479" s="9">
        <f>IF($A479="","",XLOOKUP($A479,RetirementPlan!$B:$B,RetirementPlan!$E:$E,""))</f>
        <v/>
      </c>
      <c r="J479" s="9">
        <f>IF($A479="","",N(XLOOKUP($A479,RetirementPlan!$B:$B,RetirementPlan!$G:$G,0))+N(XLOOKUP($A479,RetirementPlan!$B:$B,RetirementPlan!$H:$H,0)))</f>
        <v/>
      </c>
      <c r="K479">
        <f>IF($A479="","",IF(NOT(ISBLANK(XLOOKUP($A479,RetirementPlan!$B:$B,RetirementPlan!$N:$N,""))),XLOOKUP($A479,RetirementPlan!$B:$B,RetirementPlan!$N:$N,""),LET(cid,$A479,c,FILTER(LocationPlan!$D:$D,LocationPlan!$C:$C=cid),p,FILTER(LocationPlan!$E:$E,LocationPlan!$C:$C=cid),IFERROR(INDEX(c,MATCH(MAX(p),p,0)),""))))</f>
        <v/>
      </c>
    </row>
    <row r="480">
      <c r="B480">
        <f>IF($A480="","",XLOOKUP($A480,Clients!$A:$A,Clients!$D:$D)&amp;" "&amp;XLOOKUP($A480,Clients!$A:$A,Clients!$E:$E))</f>
        <v/>
      </c>
      <c r="C480">
        <f>IF($A480="","",DATEDIF(XLOOKUP($A480,Clients!$A:$A,Clients!$F:$F),VAL_DATE,"Y"))</f>
        <v/>
      </c>
      <c r="D480">
        <f>IF(OR($A480="",E480=""),"",E480-C480)</f>
        <v/>
      </c>
      <c r="E480">
        <f>IF($A480="","",XLOOKUP($A480,RetirementPlan!$B:$B,RetirementPlan!$C:$C,""))</f>
        <v/>
      </c>
      <c r="F480" s="9">
        <f>IF(OR($A480="",D480=""),"",FV(IF(IFERROR(XLOOKUP($A480,RetirementPlan!$B:$B,RetirementPlan!$K:$K,""),"")="",GROWTH,IFERROR(XLOOKUP($A480,RetirementPlan!$B:$B,RetirementPlan!$K:$K,""),"")),D480,-N(XLOOKUP($A480,RetirementPlan!$B:$B,RetirementPlan!$I:$I,0)),-SUMIFS(Assets!$J:$J,Assets!$B:$B,$A480,Assets!$R:$R,"Yes"),0))</f>
        <v/>
      </c>
      <c r="G480" s="9">
        <f>IF(OR($A480="",I480=""),"",MAX(0,(I480-J480)/IF(IFERROR(XLOOKUP($A480,RetirementPlan!$B:$B,RetirementPlan!$M:$M,""),"")="",SWR,IFERROR(XLOOKUP($A480,RetirementPlan!$B:$B,RetirementPlan!$M:$M,""),""))))</f>
        <v/>
      </c>
      <c r="H480" s="9">
        <f>IF(OR($A480="",F480="",G480=""),"",F480-G480)</f>
        <v/>
      </c>
      <c r="I480" s="9">
        <f>IF($A480="","",XLOOKUP($A480,RetirementPlan!$B:$B,RetirementPlan!$E:$E,""))</f>
        <v/>
      </c>
      <c r="J480" s="9">
        <f>IF($A480="","",N(XLOOKUP($A480,RetirementPlan!$B:$B,RetirementPlan!$G:$G,0))+N(XLOOKUP($A480,RetirementPlan!$B:$B,RetirementPlan!$H:$H,0)))</f>
        <v/>
      </c>
      <c r="K480">
        <f>IF($A480="","",IF(NOT(ISBLANK(XLOOKUP($A480,RetirementPlan!$B:$B,RetirementPlan!$N:$N,""))),XLOOKUP($A480,RetirementPlan!$B:$B,RetirementPlan!$N:$N,""),LET(cid,$A480,c,FILTER(LocationPlan!$D:$D,LocationPlan!$C:$C=cid),p,FILTER(LocationPlan!$E:$E,LocationPlan!$C:$C=cid),IFERROR(INDEX(c,MATCH(MAX(p),p,0)),""))))</f>
        <v/>
      </c>
    </row>
    <row r="481">
      <c r="B481">
        <f>IF($A481="","",XLOOKUP($A481,Clients!$A:$A,Clients!$D:$D)&amp;" "&amp;XLOOKUP($A481,Clients!$A:$A,Clients!$E:$E))</f>
        <v/>
      </c>
      <c r="C481">
        <f>IF($A481="","",DATEDIF(XLOOKUP($A481,Clients!$A:$A,Clients!$F:$F),VAL_DATE,"Y"))</f>
        <v/>
      </c>
      <c r="D481">
        <f>IF(OR($A481="",E481=""),"",E481-C481)</f>
        <v/>
      </c>
      <c r="E481">
        <f>IF($A481="","",XLOOKUP($A481,RetirementPlan!$B:$B,RetirementPlan!$C:$C,""))</f>
        <v/>
      </c>
      <c r="F481" s="9">
        <f>IF(OR($A481="",D481=""),"",FV(IF(IFERROR(XLOOKUP($A481,RetirementPlan!$B:$B,RetirementPlan!$K:$K,""),"")="",GROWTH,IFERROR(XLOOKUP($A481,RetirementPlan!$B:$B,RetirementPlan!$K:$K,""),"")),D481,-N(XLOOKUP($A481,RetirementPlan!$B:$B,RetirementPlan!$I:$I,0)),-SUMIFS(Assets!$J:$J,Assets!$B:$B,$A481,Assets!$R:$R,"Yes"),0))</f>
        <v/>
      </c>
      <c r="G481" s="9">
        <f>IF(OR($A481="",I481=""),"",MAX(0,(I481-J481)/IF(IFERROR(XLOOKUP($A481,RetirementPlan!$B:$B,RetirementPlan!$M:$M,""),"")="",SWR,IFERROR(XLOOKUP($A481,RetirementPlan!$B:$B,RetirementPlan!$M:$M,""),""))))</f>
        <v/>
      </c>
      <c r="H481" s="9">
        <f>IF(OR($A481="",F481="",G481=""),"",F481-G481)</f>
        <v/>
      </c>
      <c r="I481" s="9">
        <f>IF($A481="","",XLOOKUP($A481,RetirementPlan!$B:$B,RetirementPlan!$E:$E,""))</f>
        <v/>
      </c>
      <c r="J481" s="9">
        <f>IF($A481="","",N(XLOOKUP($A481,RetirementPlan!$B:$B,RetirementPlan!$G:$G,0))+N(XLOOKUP($A481,RetirementPlan!$B:$B,RetirementPlan!$H:$H,0)))</f>
        <v/>
      </c>
      <c r="K481">
        <f>IF($A481="","",IF(NOT(ISBLANK(XLOOKUP($A481,RetirementPlan!$B:$B,RetirementPlan!$N:$N,""))),XLOOKUP($A481,RetirementPlan!$B:$B,RetirementPlan!$N:$N,""),LET(cid,$A481,c,FILTER(LocationPlan!$D:$D,LocationPlan!$C:$C=cid),p,FILTER(LocationPlan!$E:$E,LocationPlan!$C:$C=cid),IFERROR(INDEX(c,MATCH(MAX(p),p,0)),""))))</f>
        <v/>
      </c>
    </row>
    <row r="482">
      <c r="B482">
        <f>IF($A482="","",XLOOKUP($A482,Clients!$A:$A,Clients!$D:$D)&amp;" "&amp;XLOOKUP($A482,Clients!$A:$A,Clients!$E:$E))</f>
        <v/>
      </c>
      <c r="C482">
        <f>IF($A482="","",DATEDIF(XLOOKUP($A482,Clients!$A:$A,Clients!$F:$F),VAL_DATE,"Y"))</f>
        <v/>
      </c>
      <c r="D482">
        <f>IF(OR($A482="",E482=""),"",E482-C482)</f>
        <v/>
      </c>
      <c r="E482">
        <f>IF($A482="","",XLOOKUP($A482,RetirementPlan!$B:$B,RetirementPlan!$C:$C,""))</f>
        <v/>
      </c>
      <c r="F482" s="9">
        <f>IF(OR($A482="",D482=""),"",FV(IF(IFERROR(XLOOKUP($A482,RetirementPlan!$B:$B,RetirementPlan!$K:$K,""),"")="",GROWTH,IFERROR(XLOOKUP($A482,RetirementPlan!$B:$B,RetirementPlan!$K:$K,""),"")),D482,-N(XLOOKUP($A482,RetirementPlan!$B:$B,RetirementPlan!$I:$I,0)),-SUMIFS(Assets!$J:$J,Assets!$B:$B,$A482,Assets!$R:$R,"Yes"),0))</f>
        <v/>
      </c>
      <c r="G482" s="9">
        <f>IF(OR($A482="",I482=""),"",MAX(0,(I482-J482)/IF(IFERROR(XLOOKUP($A482,RetirementPlan!$B:$B,RetirementPlan!$M:$M,""),"")="",SWR,IFERROR(XLOOKUP($A482,RetirementPlan!$B:$B,RetirementPlan!$M:$M,""),""))))</f>
        <v/>
      </c>
      <c r="H482" s="9">
        <f>IF(OR($A482="",F482="",G482=""),"",F482-G482)</f>
        <v/>
      </c>
      <c r="I482" s="9">
        <f>IF($A482="","",XLOOKUP($A482,RetirementPlan!$B:$B,RetirementPlan!$E:$E,""))</f>
        <v/>
      </c>
      <c r="J482" s="9">
        <f>IF($A482="","",N(XLOOKUP($A482,RetirementPlan!$B:$B,RetirementPlan!$G:$G,0))+N(XLOOKUP($A482,RetirementPlan!$B:$B,RetirementPlan!$H:$H,0)))</f>
        <v/>
      </c>
      <c r="K482">
        <f>IF($A482="","",IF(NOT(ISBLANK(XLOOKUP($A482,RetirementPlan!$B:$B,RetirementPlan!$N:$N,""))),XLOOKUP($A482,RetirementPlan!$B:$B,RetirementPlan!$N:$N,""),LET(cid,$A482,c,FILTER(LocationPlan!$D:$D,LocationPlan!$C:$C=cid),p,FILTER(LocationPlan!$E:$E,LocationPlan!$C:$C=cid),IFERROR(INDEX(c,MATCH(MAX(p),p,0)),""))))</f>
        <v/>
      </c>
    </row>
    <row r="483">
      <c r="B483">
        <f>IF($A483="","",XLOOKUP($A483,Clients!$A:$A,Clients!$D:$D)&amp;" "&amp;XLOOKUP($A483,Clients!$A:$A,Clients!$E:$E))</f>
        <v/>
      </c>
      <c r="C483">
        <f>IF($A483="","",DATEDIF(XLOOKUP($A483,Clients!$A:$A,Clients!$F:$F),VAL_DATE,"Y"))</f>
        <v/>
      </c>
      <c r="D483">
        <f>IF(OR($A483="",E483=""),"",E483-C483)</f>
        <v/>
      </c>
      <c r="E483">
        <f>IF($A483="","",XLOOKUP($A483,RetirementPlan!$B:$B,RetirementPlan!$C:$C,""))</f>
        <v/>
      </c>
      <c r="F483" s="9">
        <f>IF(OR($A483="",D483=""),"",FV(IF(IFERROR(XLOOKUP($A483,RetirementPlan!$B:$B,RetirementPlan!$K:$K,""),"")="",GROWTH,IFERROR(XLOOKUP($A483,RetirementPlan!$B:$B,RetirementPlan!$K:$K,""),"")),D483,-N(XLOOKUP($A483,RetirementPlan!$B:$B,RetirementPlan!$I:$I,0)),-SUMIFS(Assets!$J:$J,Assets!$B:$B,$A483,Assets!$R:$R,"Yes"),0))</f>
        <v/>
      </c>
      <c r="G483" s="9">
        <f>IF(OR($A483="",I483=""),"",MAX(0,(I483-J483)/IF(IFERROR(XLOOKUP($A483,RetirementPlan!$B:$B,RetirementPlan!$M:$M,""),"")="",SWR,IFERROR(XLOOKUP($A483,RetirementPlan!$B:$B,RetirementPlan!$M:$M,""),""))))</f>
        <v/>
      </c>
      <c r="H483" s="9">
        <f>IF(OR($A483="",F483="",G483=""),"",F483-G483)</f>
        <v/>
      </c>
      <c r="I483" s="9">
        <f>IF($A483="","",XLOOKUP($A483,RetirementPlan!$B:$B,RetirementPlan!$E:$E,""))</f>
        <v/>
      </c>
      <c r="J483" s="9">
        <f>IF($A483="","",N(XLOOKUP($A483,RetirementPlan!$B:$B,RetirementPlan!$G:$G,0))+N(XLOOKUP($A483,RetirementPlan!$B:$B,RetirementPlan!$H:$H,0)))</f>
        <v/>
      </c>
      <c r="K483">
        <f>IF($A483="","",IF(NOT(ISBLANK(XLOOKUP($A483,RetirementPlan!$B:$B,RetirementPlan!$N:$N,""))),XLOOKUP($A483,RetirementPlan!$B:$B,RetirementPlan!$N:$N,""),LET(cid,$A483,c,FILTER(LocationPlan!$D:$D,LocationPlan!$C:$C=cid),p,FILTER(LocationPlan!$E:$E,LocationPlan!$C:$C=cid),IFERROR(INDEX(c,MATCH(MAX(p),p,0)),""))))</f>
        <v/>
      </c>
    </row>
    <row r="484">
      <c r="B484">
        <f>IF($A484="","",XLOOKUP($A484,Clients!$A:$A,Clients!$D:$D)&amp;" "&amp;XLOOKUP($A484,Clients!$A:$A,Clients!$E:$E))</f>
        <v/>
      </c>
      <c r="C484">
        <f>IF($A484="","",DATEDIF(XLOOKUP($A484,Clients!$A:$A,Clients!$F:$F),VAL_DATE,"Y"))</f>
        <v/>
      </c>
      <c r="D484">
        <f>IF(OR($A484="",E484=""),"",E484-C484)</f>
        <v/>
      </c>
      <c r="E484">
        <f>IF($A484="","",XLOOKUP($A484,RetirementPlan!$B:$B,RetirementPlan!$C:$C,""))</f>
        <v/>
      </c>
      <c r="F484" s="9">
        <f>IF(OR($A484="",D484=""),"",FV(IF(IFERROR(XLOOKUP($A484,RetirementPlan!$B:$B,RetirementPlan!$K:$K,""),"")="",GROWTH,IFERROR(XLOOKUP($A484,RetirementPlan!$B:$B,RetirementPlan!$K:$K,""),"")),D484,-N(XLOOKUP($A484,RetirementPlan!$B:$B,RetirementPlan!$I:$I,0)),-SUMIFS(Assets!$J:$J,Assets!$B:$B,$A484,Assets!$R:$R,"Yes"),0))</f>
        <v/>
      </c>
      <c r="G484" s="9">
        <f>IF(OR($A484="",I484=""),"",MAX(0,(I484-J484)/IF(IFERROR(XLOOKUP($A484,RetirementPlan!$B:$B,RetirementPlan!$M:$M,""),"")="",SWR,IFERROR(XLOOKUP($A484,RetirementPlan!$B:$B,RetirementPlan!$M:$M,""),""))))</f>
        <v/>
      </c>
      <c r="H484" s="9">
        <f>IF(OR($A484="",F484="",G484=""),"",F484-G484)</f>
        <v/>
      </c>
      <c r="I484" s="9">
        <f>IF($A484="","",XLOOKUP($A484,RetirementPlan!$B:$B,RetirementPlan!$E:$E,""))</f>
        <v/>
      </c>
      <c r="J484" s="9">
        <f>IF($A484="","",N(XLOOKUP($A484,RetirementPlan!$B:$B,RetirementPlan!$G:$G,0))+N(XLOOKUP($A484,RetirementPlan!$B:$B,RetirementPlan!$H:$H,0)))</f>
        <v/>
      </c>
      <c r="K484">
        <f>IF($A484="","",IF(NOT(ISBLANK(XLOOKUP($A484,RetirementPlan!$B:$B,RetirementPlan!$N:$N,""))),XLOOKUP($A484,RetirementPlan!$B:$B,RetirementPlan!$N:$N,""),LET(cid,$A484,c,FILTER(LocationPlan!$D:$D,LocationPlan!$C:$C=cid),p,FILTER(LocationPlan!$E:$E,LocationPlan!$C:$C=cid),IFERROR(INDEX(c,MATCH(MAX(p),p,0)),""))))</f>
        <v/>
      </c>
    </row>
    <row r="485">
      <c r="B485">
        <f>IF($A485="","",XLOOKUP($A485,Clients!$A:$A,Clients!$D:$D)&amp;" "&amp;XLOOKUP($A485,Clients!$A:$A,Clients!$E:$E))</f>
        <v/>
      </c>
      <c r="C485">
        <f>IF($A485="","",DATEDIF(XLOOKUP($A485,Clients!$A:$A,Clients!$F:$F),VAL_DATE,"Y"))</f>
        <v/>
      </c>
      <c r="D485">
        <f>IF(OR($A485="",E485=""),"",E485-C485)</f>
        <v/>
      </c>
      <c r="E485">
        <f>IF($A485="","",XLOOKUP($A485,RetirementPlan!$B:$B,RetirementPlan!$C:$C,""))</f>
        <v/>
      </c>
      <c r="F485" s="9">
        <f>IF(OR($A485="",D485=""),"",FV(IF(IFERROR(XLOOKUP($A485,RetirementPlan!$B:$B,RetirementPlan!$K:$K,""),"")="",GROWTH,IFERROR(XLOOKUP($A485,RetirementPlan!$B:$B,RetirementPlan!$K:$K,""),"")),D485,-N(XLOOKUP($A485,RetirementPlan!$B:$B,RetirementPlan!$I:$I,0)),-SUMIFS(Assets!$J:$J,Assets!$B:$B,$A485,Assets!$R:$R,"Yes"),0))</f>
        <v/>
      </c>
      <c r="G485" s="9">
        <f>IF(OR($A485="",I485=""),"",MAX(0,(I485-J485)/IF(IFERROR(XLOOKUP($A485,RetirementPlan!$B:$B,RetirementPlan!$M:$M,""),"")="",SWR,IFERROR(XLOOKUP($A485,RetirementPlan!$B:$B,RetirementPlan!$M:$M,""),""))))</f>
        <v/>
      </c>
      <c r="H485" s="9">
        <f>IF(OR($A485="",F485="",G485=""),"",F485-G485)</f>
        <v/>
      </c>
      <c r="I485" s="9">
        <f>IF($A485="","",XLOOKUP($A485,RetirementPlan!$B:$B,RetirementPlan!$E:$E,""))</f>
        <v/>
      </c>
      <c r="J485" s="9">
        <f>IF($A485="","",N(XLOOKUP($A485,RetirementPlan!$B:$B,RetirementPlan!$G:$G,0))+N(XLOOKUP($A485,RetirementPlan!$B:$B,RetirementPlan!$H:$H,0)))</f>
        <v/>
      </c>
      <c r="K485">
        <f>IF($A485="","",IF(NOT(ISBLANK(XLOOKUP($A485,RetirementPlan!$B:$B,RetirementPlan!$N:$N,""))),XLOOKUP($A485,RetirementPlan!$B:$B,RetirementPlan!$N:$N,""),LET(cid,$A485,c,FILTER(LocationPlan!$D:$D,LocationPlan!$C:$C=cid),p,FILTER(LocationPlan!$E:$E,LocationPlan!$C:$C=cid),IFERROR(INDEX(c,MATCH(MAX(p),p,0)),""))))</f>
        <v/>
      </c>
    </row>
    <row r="486">
      <c r="B486">
        <f>IF($A486="","",XLOOKUP($A486,Clients!$A:$A,Clients!$D:$D)&amp;" "&amp;XLOOKUP($A486,Clients!$A:$A,Clients!$E:$E))</f>
        <v/>
      </c>
      <c r="C486">
        <f>IF($A486="","",DATEDIF(XLOOKUP($A486,Clients!$A:$A,Clients!$F:$F),VAL_DATE,"Y"))</f>
        <v/>
      </c>
      <c r="D486">
        <f>IF(OR($A486="",E486=""),"",E486-C486)</f>
        <v/>
      </c>
      <c r="E486">
        <f>IF($A486="","",XLOOKUP($A486,RetirementPlan!$B:$B,RetirementPlan!$C:$C,""))</f>
        <v/>
      </c>
      <c r="F486" s="9">
        <f>IF(OR($A486="",D486=""),"",FV(IF(IFERROR(XLOOKUP($A486,RetirementPlan!$B:$B,RetirementPlan!$K:$K,""),"")="",GROWTH,IFERROR(XLOOKUP($A486,RetirementPlan!$B:$B,RetirementPlan!$K:$K,""),"")),D486,-N(XLOOKUP($A486,RetirementPlan!$B:$B,RetirementPlan!$I:$I,0)),-SUMIFS(Assets!$J:$J,Assets!$B:$B,$A486,Assets!$R:$R,"Yes"),0))</f>
        <v/>
      </c>
      <c r="G486" s="9">
        <f>IF(OR($A486="",I486=""),"",MAX(0,(I486-J486)/IF(IFERROR(XLOOKUP($A486,RetirementPlan!$B:$B,RetirementPlan!$M:$M,""),"")="",SWR,IFERROR(XLOOKUP($A486,RetirementPlan!$B:$B,RetirementPlan!$M:$M,""),""))))</f>
        <v/>
      </c>
      <c r="H486" s="9">
        <f>IF(OR($A486="",F486="",G486=""),"",F486-G486)</f>
        <v/>
      </c>
      <c r="I486" s="9">
        <f>IF($A486="","",XLOOKUP($A486,RetirementPlan!$B:$B,RetirementPlan!$E:$E,""))</f>
        <v/>
      </c>
      <c r="J486" s="9">
        <f>IF($A486="","",N(XLOOKUP($A486,RetirementPlan!$B:$B,RetirementPlan!$G:$G,0))+N(XLOOKUP($A486,RetirementPlan!$B:$B,RetirementPlan!$H:$H,0)))</f>
        <v/>
      </c>
      <c r="K486">
        <f>IF($A486="","",IF(NOT(ISBLANK(XLOOKUP($A486,RetirementPlan!$B:$B,RetirementPlan!$N:$N,""))),XLOOKUP($A486,RetirementPlan!$B:$B,RetirementPlan!$N:$N,""),LET(cid,$A486,c,FILTER(LocationPlan!$D:$D,LocationPlan!$C:$C=cid),p,FILTER(LocationPlan!$E:$E,LocationPlan!$C:$C=cid),IFERROR(INDEX(c,MATCH(MAX(p),p,0)),""))))</f>
        <v/>
      </c>
    </row>
    <row r="487">
      <c r="B487">
        <f>IF($A487="","",XLOOKUP($A487,Clients!$A:$A,Clients!$D:$D)&amp;" "&amp;XLOOKUP($A487,Clients!$A:$A,Clients!$E:$E))</f>
        <v/>
      </c>
      <c r="C487">
        <f>IF($A487="","",DATEDIF(XLOOKUP($A487,Clients!$A:$A,Clients!$F:$F),VAL_DATE,"Y"))</f>
        <v/>
      </c>
      <c r="D487">
        <f>IF(OR($A487="",E487=""),"",E487-C487)</f>
        <v/>
      </c>
      <c r="E487">
        <f>IF($A487="","",XLOOKUP($A487,RetirementPlan!$B:$B,RetirementPlan!$C:$C,""))</f>
        <v/>
      </c>
      <c r="F487" s="9">
        <f>IF(OR($A487="",D487=""),"",FV(IF(IFERROR(XLOOKUP($A487,RetirementPlan!$B:$B,RetirementPlan!$K:$K,""),"")="",GROWTH,IFERROR(XLOOKUP($A487,RetirementPlan!$B:$B,RetirementPlan!$K:$K,""),"")),D487,-N(XLOOKUP($A487,RetirementPlan!$B:$B,RetirementPlan!$I:$I,0)),-SUMIFS(Assets!$J:$J,Assets!$B:$B,$A487,Assets!$R:$R,"Yes"),0))</f>
        <v/>
      </c>
      <c r="G487" s="9">
        <f>IF(OR($A487="",I487=""),"",MAX(0,(I487-J487)/IF(IFERROR(XLOOKUP($A487,RetirementPlan!$B:$B,RetirementPlan!$M:$M,""),"")="",SWR,IFERROR(XLOOKUP($A487,RetirementPlan!$B:$B,RetirementPlan!$M:$M,""),""))))</f>
        <v/>
      </c>
      <c r="H487" s="9">
        <f>IF(OR($A487="",F487="",G487=""),"",F487-G487)</f>
        <v/>
      </c>
      <c r="I487" s="9">
        <f>IF($A487="","",XLOOKUP($A487,RetirementPlan!$B:$B,RetirementPlan!$E:$E,""))</f>
        <v/>
      </c>
      <c r="J487" s="9">
        <f>IF($A487="","",N(XLOOKUP($A487,RetirementPlan!$B:$B,RetirementPlan!$G:$G,0))+N(XLOOKUP($A487,RetirementPlan!$B:$B,RetirementPlan!$H:$H,0)))</f>
        <v/>
      </c>
      <c r="K487">
        <f>IF($A487="","",IF(NOT(ISBLANK(XLOOKUP($A487,RetirementPlan!$B:$B,RetirementPlan!$N:$N,""))),XLOOKUP($A487,RetirementPlan!$B:$B,RetirementPlan!$N:$N,""),LET(cid,$A487,c,FILTER(LocationPlan!$D:$D,LocationPlan!$C:$C=cid),p,FILTER(LocationPlan!$E:$E,LocationPlan!$C:$C=cid),IFERROR(INDEX(c,MATCH(MAX(p),p,0)),""))))</f>
        <v/>
      </c>
    </row>
    <row r="488">
      <c r="B488">
        <f>IF($A488="","",XLOOKUP($A488,Clients!$A:$A,Clients!$D:$D)&amp;" "&amp;XLOOKUP($A488,Clients!$A:$A,Clients!$E:$E))</f>
        <v/>
      </c>
      <c r="C488">
        <f>IF($A488="","",DATEDIF(XLOOKUP($A488,Clients!$A:$A,Clients!$F:$F),VAL_DATE,"Y"))</f>
        <v/>
      </c>
      <c r="D488">
        <f>IF(OR($A488="",E488=""),"",E488-C488)</f>
        <v/>
      </c>
      <c r="E488">
        <f>IF($A488="","",XLOOKUP($A488,RetirementPlan!$B:$B,RetirementPlan!$C:$C,""))</f>
        <v/>
      </c>
      <c r="F488" s="9">
        <f>IF(OR($A488="",D488=""),"",FV(IF(IFERROR(XLOOKUP($A488,RetirementPlan!$B:$B,RetirementPlan!$K:$K,""),"")="",GROWTH,IFERROR(XLOOKUP($A488,RetirementPlan!$B:$B,RetirementPlan!$K:$K,""),"")),D488,-N(XLOOKUP($A488,RetirementPlan!$B:$B,RetirementPlan!$I:$I,0)),-SUMIFS(Assets!$J:$J,Assets!$B:$B,$A488,Assets!$R:$R,"Yes"),0))</f>
        <v/>
      </c>
      <c r="G488" s="9">
        <f>IF(OR($A488="",I488=""),"",MAX(0,(I488-J488)/IF(IFERROR(XLOOKUP($A488,RetirementPlan!$B:$B,RetirementPlan!$M:$M,""),"")="",SWR,IFERROR(XLOOKUP($A488,RetirementPlan!$B:$B,RetirementPlan!$M:$M,""),""))))</f>
        <v/>
      </c>
      <c r="H488" s="9">
        <f>IF(OR($A488="",F488="",G488=""),"",F488-G488)</f>
        <v/>
      </c>
      <c r="I488" s="9">
        <f>IF($A488="","",XLOOKUP($A488,RetirementPlan!$B:$B,RetirementPlan!$E:$E,""))</f>
        <v/>
      </c>
      <c r="J488" s="9">
        <f>IF($A488="","",N(XLOOKUP($A488,RetirementPlan!$B:$B,RetirementPlan!$G:$G,0))+N(XLOOKUP($A488,RetirementPlan!$B:$B,RetirementPlan!$H:$H,0)))</f>
        <v/>
      </c>
      <c r="K488">
        <f>IF($A488="","",IF(NOT(ISBLANK(XLOOKUP($A488,RetirementPlan!$B:$B,RetirementPlan!$N:$N,""))),XLOOKUP($A488,RetirementPlan!$B:$B,RetirementPlan!$N:$N,""),LET(cid,$A488,c,FILTER(LocationPlan!$D:$D,LocationPlan!$C:$C=cid),p,FILTER(LocationPlan!$E:$E,LocationPlan!$C:$C=cid),IFERROR(INDEX(c,MATCH(MAX(p),p,0)),""))))</f>
        <v/>
      </c>
    </row>
    <row r="489">
      <c r="B489">
        <f>IF($A489="","",XLOOKUP($A489,Clients!$A:$A,Clients!$D:$D)&amp;" "&amp;XLOOKUP($A489,Clients!$A:$A,Clients!$E:$E))</f>
        <v/>
      </c>
      <c r="C489">
        <f>IF($A489="","",DATEDIF(XLOOKUP($A489,Clients!$A:$A,Clients!$F:$F),VAL_DATE,"Y"))</f>
        <v/>
      </c>
      <c r="D489">
        <f>IF(OR($A489="",E489=""),"",E489-C489)</f>
        <v/>
      </c>
      <c r="E489">
        <f>IF($A489="","",XLOOKUP($A489,RetirementPlan!$B:$B,RetirementPlan!$C:$C,""))</f>
        <v/>
      </c>
      <c r="F489" s="9">
        <f>IF(OR($A489="",D489=""),"",FV(IF(IFERROR(XLOOKUP($A489,RetirementPlan!$B:$B,RetirementPlan!$K:$K,""),"")="",GROWTH,IFERROR(XLOOKUP($A489,RetirementPlan!$B:$B,RetirementPlan!$K:$K,""),"")),D489,-N(XLOOKUP($A489,RetirementPlan!$B:$B,RetirementPlan!$I:$I,0)),-SUMIFS(Assets!$J:$J,Assets!$B:$B,$A489,Assets!$R:$R,"Yes"),0))</f>
        <v/>
      </c>
      <c r="G489" s="9">
        <f>IF(OR($A489="",I489=""),"",MAX(0,(I489-J489)/IF(IFERROR(XLOOKUP($A489,RetirementPlan!$B:$B,RetirementPlan!$M:$M,""),"")="",SWR,IFERROR(XLOOKUP($A489,RetirementPlan!$B:$B,RetirementPlan!$M:$M,""),""))))</f>
        <v/>
      </c>
      <c r="H489" s="9">
        <f>IF(OR($A489="",F489="",G489=""),"",F489-G489)</f>
        <v/>
      </c>
      <c r="I489" s="9">
        <f>IF($A489="","",XLOOKUP($A489,RetirementPlan!$B:$B,RetirementPlan!$E:$E,""))</f>
        <v/>
      </c>
      <c r="J489" s="9">
        <f>IF($A489="","",N(XLOOKUP($A489,RetirementPlan!$B:$B,RetirementPlan!$G:$G,0))+N(XLOOKUP($A489,RetirementPlan!$B:$B,RetirementPlan!$H:$H,0)))</f>
        <v/>
      </c>
      <c r="K489">
        <f>IF($A489="","",IF(NOT(ISBLANK(XLOOKUP($A489,RetirementPlan!$B:$B,RetirementPlan!$N:$N,""))),XLOOKUP($A489,RetirementPlan!$B:$B,RetirementPlan!$N:$N,""),LET(cid,$A489,c,FILTER(LocationPlan!$D:$D,LocationPlan!$C:$C=cid),p,FILTER(LocationPlan!$E:$E,LocationPlan!$C:$C=cid),IFERROR(INDEX(c,MATCH(MAX(p),p,0)),""))))</f>
        <v/>
      </c>
    </row>
    <row r="490">
      <c r="B490">
        <f>IF($A490="","",XLOOKUP($A490,Clients!$A:$A,Clients!$D:$D)&amp;" "&amp;XLOOKUP($A490,Clients!$A:$A,Clients!$E:$E))</f>
        <v/>
      </c>
      <c r="C490">
        <f>IF($A490="","",DATEDIF(XLOOKUP($A490,Clients!$A:$A,Clients!$F:$F),VAL_DATE,"Y"))</f>
        <v/>
      </c>
      <c r="D490">
        <f>IF(OR($A490="",E490=""),"",E490-C490)</f>
        <v/>
      </c>
      <c r="E490">
        <f>IF($A490="","",XLOOKUP($A490,RetirementPlan!$B:$B,RetirementPlan!$C:$C,""))</f>
        <v/>
      </c>
      <c r="F490" s="9">
        <f>IF(OR($A490="",D490=""),"",FV(IF(IFERROR(XLOOKUP($A490,RetirementPlan!$B:$B,RetirementPlan!$K:$K,""),"")="",GROWTH,IFERROR(XLOOKUP($A490,RetirementPlan!$B:$B,RetirementPlan!$K:$K,""),"")),D490,-N(XLOOKUP($A490,RetirementPlan!$B:$B,RetirementPlan!$I:$I,0)),-SUMIFS(Assets!$J:$J,Assets!$B:$B,$A490,Assets!$R:$R,"Yes"),0))</f>
        <v/>
      </c>
      <c r="G490" s="9">
        <f>IF(OR($A490="",I490=""),"",MAX(0,(I490-J490)/IF(IFERROR(XLOOKUP($A490,RetirementPlan!$B:$B,RetirementPlan!$M:$M,""),"")="",SWR,IFERROR(XLOOKUP($A490,RetirementPlan!$B:$B,RetirementPlan!$M:$M,""),""))))</f>
        <v/>
      </c>
      <c r="H490" s="9">
        <f>IF(OR($A490="",F490="",G490=""),"",F490-G490)</f>
        <v/>
      </c>
      <c r="I490" s="9">
        <f>IF($A490="","",XLOOKUP($A490,RetirementPlan!$B:$B,RetirementPlan!$E:$E,""))</f>
        <v/>
      </c>
      <c r="J490" s="9">
        <f>IF($A490="","",N(XLOOKUP($A490,RetirementPlan!$B:$B,RetirementPlan!$G:$G,0))+N(XLOOKUP($A490,RetirementPlan!$B:$B,RetirementPlan!$H:$H,0)))</f>
        <v/>
      </c>
      <c r="K490">
        <f>IF($A490="","",IF(NOT(ISBLANK(XLOOKUP($A490,RetirementPlan!$B:$B,RetirementPlan!$N:$N,""))),XLOOKUP($A490,RetirementPlan!$B:$B,RetirementPlan!$N:$N,""),LET(cid,$A490,c,FILTER(LocationPlan!$D:$D,LocationPlan!$C:$C=cid),p,FILTER(LocationPlan!$E:$E,LocationPlan!$C:$C=cid),IFERROR(INDEX(c,MATCH(MAX(p),p,0)),""))))</f>
        <v/>
      </c>
    </row>
    <row r="491">
      <c r="B491">
        <f>IF($A491="","",XLOOKUP($A491,Clients!$A:$A,Clients!$D:$D)&amp;" "&amp;XLOOKUP($A491,Clients!$A:$A,Clients!$E:$E))</f>
        <v/>
      </c>
      <c r="C491">
        <f>IF($A491="","",DATEDIF(XLOOKUP($A491,Clients!$A:$A,Clients!$F:$F),VAL_DATE,"Y"))</f>
        <v/>
      </c>
      <c r="D491">
        <f>IF(OR($A491="",E491=""),"",E491-C491)</f>
        <v/>
      </c>
      <c r="E491">
        <f>IF($A491="","",XLOOKUP($A491,RetirementPlan!$B:$B,RetirementPlan!$C:$C,""))</f>
        <v/>
      </c>
      <c r="F491" s="9">
        <f>IF(OR($A491="",D491=""),"",FV(IF(IFERROR(XLOOKUP($A491,RetirementPlan!$B:$B,RetirementPlan!$K:$K,""),"")="",GROWTH,IFERROR(XLOOKUP($A491,RetirementPlan!$B:$B,RetirementPlan!$K:$K,""),"")),D491,-N(XLOOKUP($A491,RetirementPlan!$B:$B,RetirementPlan!$I:$I,0)),-SUMIFS(Assets!$J:$J,Assets!$B:$B,$A491,Assets!$R:$R,"Yes"),0))</f>
        <v/>
      </c>
      <c r="G491" s="9">
        <f>IF(OR($A491="",I491=""),"",MAX(0,(I491-J491)/IF(IFERROR(XLOOKUP($A491,RetirementPlan!$B:$B,RetirementPlan!$M:$M,""),"")="",SWR,IFERROR(XLOOKUP($A491,RetirementPlan!$B:$B,RetirementPlan!$M:$M,""),""))))</f>
        <v/>
      </c>
      <c r="H491" s="9">
        <f>IF(OR($A491="",F491="",G491=""),"",F491-G491)</f>
        <v/>
      </c>
      <c r="I491" s="9">
        <f>IF($A491="","",XLOOKUP($A491,RetirementPlan!$B:$B,RetirementPlan!$E:$E,""))</f>
        <v/>
      </c>
      <c r="J491" s="9">
        <f>IF($A491="","",N(XLOOKUP($A491,RetirementPlan!$B:$B,RetirementPlan!$G:$G,0))+N(XLOOKUP($A491,RetirementPlan!$B:$B,RetirementPlan!$H:$H,0)))</f>
        <v/>
      </c>
      <c r="K491">
        <f>IF($A491="","",IF(NOT(ISBLANK(XLOOKUP($A491,RetirementPlan!$B:$B,RetirementPlan!$N:$N,""))),XLOOKUP($A491,RetirementPlan!$B:$B,RetirementPlan!$N:$N,""),LET(cid,$A491,c,FILTER(LocationPlan!$D:$D,LocationPlan!$C:$C=cid),p,FILTER(LocationPlan!$E:$E,LocationPlan!$C:$C=cid),IFERROR(INDEX(c,MATCH(MAX(p),p,0)),""))))</f>
        <v/>
      </c>
    </row>
    <row r="492">
      <c r="B492">
        <f>IF($A492="","",XLOOKUP($A492,Clients!$A:$A,Clients!$D:$D)&amp;" "&amp;XLOOKUP($A492,Clients!$A:$A,Clients!$E:$E))</f>
        <v/>
      </c>
      <c r="C492">
        <f>IF($A492="","",DATEDIF(XLOOKUP($A492,Clients!$A:$A,Clients!$F:$F),VAL_DATE,"Y"))</f>
        <v/>
      </c>
      <c r="D492">
        <f>IF(OR($A492="",E492=""),"",E492-C492)</f>
        <v/>
      </c>
      <c r="E492">
        <f>IF($A492="","",XLOOKUP($A492,RetirementPlan!$B:$B,RetirementPlan!$C:$C,""))</f>
        <v/>
      </c>
      <c r="F492" s="9">
        <f>IF(OR($A492="",D492=""),"",FV(IF(IFERROR(XLOOKUP($A492,RetirementPlan!$B:$B,RetirementPlan!$K:$K,""),"")="",GROWTH,IFERROR(XLOOKUP($A492,RetirementPlan!$B:$B,RetirementPlan!$K:$K,""),"")),D492,-N(XLOOKUP($A492,RetirementPlan!$B:$B,RetirementPlan!$I:$I,0)),-SUMIFS(Assets!$J:$J,Assets!$B:$B,$A492,Assets!$R:$R,"Yes"),0))</f>
        <v/>
      </c>
      <c r="G492" s="9">
        <f>IF(OR($A492="",I492=""),"",MAX(0,(I492-J492)/IF(IFERROR(XLOOKUP($A492,RetirementPlan!$B:$B,RetirementPlan!$M:$M,""),"")="",SWR,IFERROR(XLOOKUP($A492,RetirementPlan!$B:$B,RetirementPlan!$M:$M,""),""))))</f>
        <v/>
      </c>
      <c r="H492" s="9">
        <f>IF(OR($A492="",F492="",G492=""),"",F492-G492)</f>
        <v/>
      </c>
      <c r="I492" s="9">
        <f>IF($A492="","",XLOOKUP($A492,RetirementPlan!$B:$B,RetirementPlan!$E:$E,""))</f>
        <v/>
      </c>
      <c r="J492" s="9">
        <f>IF($A492="","",N(XLOOKUP($A492,RetirementPlan!$B:$B,RetirementPlan!$G:$G,0))+N(XLOOKUP($A492,RetirementPlan!$B:$B,RetirementPlan!$H:$H,0)))</f>
        <v/>
      </c>
      <c r="K492">
        <f>IF($A492="","",IF(NOT(ISBLANK(XLOOKUP($A492,RetirementPlan!$B:$B,RetirementPlan!$N:$N,""))),XLOOKUP($A492,RetirementPlan!$B:$B,RetirementPlan!$N:$N,""),LET(cid,$A492,c,FILTER(LocationPlan!$D:$D,LocationPlan!$C:$C=cid),p,FILTER(LocationPlan!$E:$E,LocationPlan!$C:$C=cid),IFERROR(INDEX(c,MATCH(MAX(p),p,0)),""))))</f>
        <v/>
      </c>
    </row>
    <row r="493">
      <c r="B493">
        <f>IF($A493="","",XLOOKUP($A493,Clients!$A:$A,Clients!$D:$D)&amp;" "&amp;XLOOKUP($A493,Clients!$A:$A,Clients!$E:$E))</f>
        <v/>
      </c>
      <c r="C493">
        <f>IF($A493="","",DATEDIF(XLOOKUP($A493,Clients!$A:$A,Clients!$F:$F),VAL_DATE,"Y"))</f>
        <v/>
      </c>
      <c r="D493">
        <f>IF(OR($A493="",E493=""),"",E493-C493)</f>
        <v/>
      </c>
      <c r="E493">
        <f>IF($A493="","",XLOOKUP($A493,RetirementPlan!$B:$B,RetirementPlan!$C:$C,""))</f>
        <v/>
      </c>
      <c r="F493" s="9">
        <f>IF(OR($A493="",D493=""),"",FV(IF(IFERROR(XLOOKUP($A493,RetirementPlan!$B:$B,RetirementPlan!$K:$K,""),"")="",GROWTH,IFERROR(XLOOKUP($A493,RetirementPlan!$B:$B,RetirementPlan!$K:$K,""),"")),D493,-N(XLOOKUP($A493,RetirementPlan!$B:$B,RetirementPlan!$I:$I,0)),-SUMIFS(Assets!$J:$J,Assets!$B:$B,$A493,Assets!$R:$R,"Yes"),0))</f>
        <v/>
      </c>
      <c r="G493" s="9">
        <f>IF(OR($A493="",I493=""),"",MAX(0,(I493-J493)/IF(IFERROR(XLOOKUP($A493,RetirementPlan!$B:$B,RetirementPlan!$M:$M,""),"")="",SWR,IFERROR(XLOOKUP($A493,RetirementPlan!$B:$B,RetirementPlan!$M:$M,""),""))))</f>
        <v/>
      </c>
      <c r="H493" s="9">
        <f>IF(OR($A493="",F493="",G493=""),"",F493-G493)</f>
        <v/>
      </c>
      <c r="I493" s="9">
        <f>IF($A493="","",XLOOKUP($A493,RetirementPlan!$B:$B,RetirementPlan!$E:$E,""))</f>
        <v/>
      </c>
      <c r="J493" s="9">
        <f>IF($A493="","",N(XLOOKUP($A493,RetirementPlan!$B:$B,RetirementPlan!$G:$G,0))+N(XLOOKUP($A493,RetirementPlan!$B:$B,RetirementPlan!$H:$H,0)))</f>
        <v/>
      </c>
      <c r="K493">
        <f>IF($A493="","",IF(NOT(ISBLANK(XLOOKUP($A493,RetirementPlan!$B:$B,RetirementPlan!$N:$N,""))),XLOOKUP($A493,RetirementPlan!$B:$B,RetirementPlan!$N:$N,""),LET(cid,$A493,c,FILTER(LocationPlan!$D:$D,LocationPlan!$C:$C=cid),p,FILTER(LocationPlan!$E:$E,LocationPlan!$C:$C=cid),IFERROR(INDEX(c,MATCH(MAX(p),p,0)),""))))</f>
        <v/>
      </c>
    </row>
    <row r="494">
      <c r="B494">
        <f>IF($A494="","",XLOOKUP($A494,Clients!$A:$A,Clients!$D:$D)&amp;" "&amp;XLOOKUP($A494,Clients!$A:$A,Clients!$E:$E))</f>
        <v/>
      </c>
      <c r="C494">
        <f>IF($A494="","",DATEDIF(XLOOKUP($A494,Clients!$A:$A,Clients!$F:$F),VAL_DATE,"Y"))</f>
        <v/>
      </c>
      <c r="D494">
        <f>IF(OR($A494="",E494=""),"",E494-C494)</f>
        <v/>
      </c>
      <c r="E494">
        <f>IF($A494="","",XLOOKUP($A494,RetirementPlan!$B:$B,RetirementPlan!$C:$C,""))</f>
        <v/>
      </c>
      <c r="F494" s="9">
        <f>IF(OR($A494="",D494=""),"",FV(IF(IFERROR(XLOOKUP($A494,RetirementPlan!$B:$B,RetirementPlan!$K:$K,""),"")="",GROWTH,IFERROR(XLOOKUP($A494,RetirementPlan!$B:$B,RetirementPlan!$K:$K,""),"")),D494,-N(XLOOKUP($A494,RetirementPlan!$B:$B,RetirementPlan!$I:$I,0)),-SUMIFS(Assets!$J:$J,Assets!$B:$B,$A494,Assets!$R:$R,"Yes"),0))</f>
        <v/>
      </c>
      <c r="G494" s="9">
        <f>IF(OR($A494="",I494=""),"",MAX(0,(I494-J494)/IF(IFERROR(XLOOKUP($A494,RetirementPlan!$B:$B,RetirementPlan!$M:$M,""),"")="",SWR,IFERROR(XLOOKUP($A494,RetirementPlan!$B:$B,RetirementPlan!$M:$M,""),""))))</f>
        <v/>
      </c>
      <c r="H494" s="9">
        <f>IF(OR($A494="",F494="",G494=""),"",F494-G494)</f>
        <v/>
      </c>
      <c r="I494" s="9">
        <f>IF($A494="","",XLOOKUP($A494,RetirementPlan!$B:$B,RetirementPlan!$E:$E,""))</f>
        <v/>
      </c>
      <c r="J494" s="9">
        <f>IF($A494="","",N(XLOOKUP($A494,RetirementPlan!$B:$B,RetirementPlan!$G:$G,0))+N(XLOOKUP($A494,RetirementPlan!$B:$B,RetirementPlan!$H:$H,0)))</f>
        <v/>
      </c>
      <c r="K494">
        <f>IF($A494="","",IF(NOT(ISBLANK(XLOOKUP($A494,RetirementPlan!$B:$B,RetirementPlan!$N:$N,""))),XLOOKUP($A494,RetirementPlan!$B:$B,RetirementPlan!$N:$N,""),LET(cid,$A494,c,FILTER(LocationPlan!$D:$D,LocationPlan!$C:$C=cid),p,FILTER(LocationPlan!$E:$E,LocationPlan!$C:$C=cid),IFERROR(INDEX(c,MATCH(MAX(p),p,0)),""))))</f>
        <v/>
      </c>
    </row>
    <row r="495">
      <c r="B495">
        <f>IF($A495="","",XLOOKUP($A495,Clients!$A:$A,Clients!$D:$D)&amp;" "&amp;XLOOKUP($A495,Clients!$A:$A,Clients!$E:$E))</f>
        <v/>
      </c>
      <c r="C495">
        <f>IF($A495="","",DATEDIF(XLOOKUP($A495,Clients!$A:$A,Clients!$F:$F),VAL_DATE,"Y"))</f>
        <v/>
      </c>
      <c r="D495">
        <f>IF(OR($A495="",E495=""),"",E495-C495)</f>
        <v/>
      </c>
      <c r="E495">
        <f>IF($A495="","",XLOOKUP($A495,RetirementPlan!$B:$B,RetirementPlan!$C:$C,""))</f>
        <v/>
      </c>
      <c r="F495" s="9">
        <f>IF(OR($A495="",D495=""),"",FV(IF(IFERROR(XLOOKUP($A495,RetirementPlan!$B:$B,RetirementPlan!$K:$K,""),"")="",GROWTH,IFERROR(XLOOKUP($A495,RetirementPlan!$B:$B,RetirementPlan!$K:$K,""),"")),D495,-N(XLOOKUP($A495,RetirementPlan!$B:$B,RetirementPlan!$I:$I,0)),-SUMIFS(Assets!$J:$J,Assets!$B:$B,$A495,Assets!$R:$R,"Yes"),0))</f>
        <v/>
      </c>
      <c r="G495" s="9">
        <f>IF(OR($A495="",I495=""),"",MAX(0,(I495-J495)/IF(IFERROR(XLOOKUP($A495,RetirementPlan!$B:$B,RetirementPlan!$M:$M,""),"")="",SWR,IFERROR(XLOOKUP($A495,RetirementPlan!$B:$B,RetirementPlan!$M:$M,""),""))))</f>
        <v/>
      </c>
      <c r="H495" s="9">
        <f>IF(OR($A495="",F495="",G495=""),"",F495-G495)</f>
        <v/>
      </c>
      <c r="I495" s="9">
        <f>IF($A495="","",XLOOKUP($A495,RetirementPlan!$B:$B,RetirementPlan!$E:$E,""))</f>
        <v/>
      </c>
      <c r="J495" s="9">
        <f>IF($A495="","",N(XLOOKUP($A495,RetirementPlan!$B:$B,RetirementPlan!$G:$G,0))+N(XLOOKUP($A495,RetirementPlan!$B:$B,RetirementPlan!$H:$H,0)))</f>
        <v/>
      </c>
      <c r="K495">
        <f>IF($A495="","",IF(NOT(ISBLANK(XLOOKUP($A495,RetirementPlan!$B:$B,RetirementPlan!$N:$N,""))),XLOOKUP($A495,RetirementPlan!$B:$B,RetirementPlan!$N:$N,""),LET(cid,$A495,c,FILTER(LocationPlan!$D:$D,LocationPlan!$C:$C=cid),p,FILTER(LocationPlan!$E:$E,LocationPlan!$C:$C=cid),IFERROR(INDEX(c,MATCH(MAX(p),p,0)),""))))</f>
        <v/>
      </c>
    </row>
    <row r="496">
      <c r="B496">
        <f>IF($A496="","",XLOOKUP($A496,Clients!$A:$A,Clients!$D:$D)&amp;" "&amp;XLOOKUP($A496,Clients!$A:$A,Clients!$E:$E))</f>
        <v/>
      </c>
      <c r="C496">
        <f>IF($A496="","",DATEDIF(XLOOKUP($A496,Clients!$A:$A,Clients!$F:$F),VAL_DATE,"Y"))</f>
        <v/>
      </c>
      <c r="D496">
        <f>IF(OR($A496="",E496=""),"",E496-C496)</f>
        <v/>
      </c>
      <c r="E496">
        <f>IF($A496="","",XLOOKUP($A496,RetirementPlan!$B:$B,RetirementPlan!$C:$C,""))</f>
        <v/>
      </c>
      <c r="F496" s="9">
        <f>IF(OR($A496="",D496=""),"",FV(IF(IFERROR(XLOOKUP($A496,RetirementPlan!$B:$B,RetirementPlan!$K:$K,""),"")="",GROWTH,IFERROR(XLOOKUP($A496,RetirementPlan!$B:$B,RetirementPlan!$K:$K,""),"")),D496,-N(XLOOKUP($A496,RetirementPlan!$B:$B,RetirementPlan!$I:$I,0)),-SUMIFS(Assets!$J:$J,Assets!$B:$B,$A496,Assets!$R:$R,"Yes"),0))</f>
        <v/>
      </c>
      <c r="G496" s="9">
        <f>IF(OR($A496="",I496=""),"",MAX(0,(I496-J496)/IF(IFERROR(XLOOKUP($A496,RetirementPlan!$B:$B,RetirementPlan!$M:$M,""),"")="",SWR,IFERROR(XLOOKUP($A496,RetirementPlan!$B:$B,RetirementPlan!$M:$M,""),""))))</f>
        <v/>
      </c>
      <c r="H496" s="9">
        <f>IF(OR($A496="",F496="",G496=""),"",F496-G496)</f>
        <v/>
      </c>
      <c r="I496" s="9">
        <f>IF($A496="","",XLOOKUP($A496,RetirementPlan!$B:$B,RetirementPlan!$E:$E,""))</f>
        <v/>
      </c>
      <c r="J496" s="9">
        <f>IF($A496="","",N(XLOOKUP($A496,RetirementPlan!$B:$B,RetirementPlan!$G:$G,0))+N(XLOOKUP($A496,RetirementPlan!$B:$B,RetirementPlan!$H:$H,0)))</f>
        <v/>
      </c>
      <c r="K496">
        <f>IF($A496="","",IF(NOT(ISBLANK(XLOOKUP($A496,RetirementPlan!$B:$B,RetirementPlan!$N:$N,""))),XLOOKUP($A496,RetirementPlan!$B:$B,RetirementPlan!$N:$N,""),LET(cid,$A496,c,FILTER(LocationPlan!$D:$D,LocationPlan!$C:$C=cid),p,FILTER(LocationPlan!$E:$E,LocationPlan!$C:$C=cid),IFERROR(INDEX(c,MATCH(MAX(p),p,0)),""))))</f>
        <v/>
      </c>
    </row>
    <row r="497">
      <c r="B497">
        <f>IF($A497="","",XLOOKUP($A497,Clients!$A:$A,Clients!$D:$D)&amp;" "&amp;XLOOKUP($A497,Clients!$A:$A,Clients!$E:$E))</f>
        <v/>
      </c>
      <c r="C497">
        <f>IF($A497="","",DATEDIF(XLOOKUP($A497,Clients!$A:$A,Clients!$F:$F),VAL_DATE,"Y"))</f>
        <v/>
      </c>
      <c r="D497">
        <f>IF(OR($A497="",E497=""),"",E497-C497)</f>
        <v/>
      </c>
      <c r="E497">
        <f>IF($A497="","",XLOOKUP($A497,RetirementPlan!$B:$B,RetirementPlan!$C:$C,""))</f>
        <v/>
      </c>
      <c r="F497" s="9">
        <f>IF(OR($A497="",D497=""),"",FV(IF(IFERROR(XLOOKUP($A497,RetirementPlan!$B:$B,RetirementPlan!$K:$K,""),"")="",GROWTH,IFERROR(XLOOKUP($A497,RetirementPlan!$B:$B,RetirementPlan!$K:$K,""),"")),D497,-N(XLOOKUP($A497,RetirementPlan!$B:$B,RetirementPlan!$I:$I,0)),-SUMIFS(Assets!$J:$J,Assets!$B:$B,$A497,Assets!$R:$R,"Yes"),0))</f>
        <v/>
      </c>
      <c r="G497" s="9">
        <f>IF(OR($A497="",I497=""),"",MAX(0,(I497-J497)/IF(IFERROR(XLOOKUP($A497,RetirementPlan!$B:$B,RetirementPlan!$M:$M,""),"")="",SWR,IFERROR(XLOOKUP($A497,RetirementPlan!$B:$B,RetirementPlan!$M:$M,""),""))))</f>
        <v/>
      </c>
      <c r="H497" s="9">
        <f>IF(OR($A497="",F497="",G497=""),"",F497-G497)</f>
        <v/>
      </c>
      <c r="I497" s="9">
        <f>IF($A497="","",XLOOKUP($A497,RetirementPlan!$B:$B,RetirementPlan!$E:$E,""))</f>
        <v/>
      </c>
      <c r="J497" s="9">
        <f>IF($A497="","",N(XLOOKUP($A497,RetirementPlan!$B:$B,RetirementPlan!$G:$G,0))+N(XLOOKUP($A497,RetirementPlan!$B:$B,RetirementPlan!$H:$H,0)))</f>
        <v/>
      </c>
      <c r="K497">
        <f>IF($A497="","",IF(NOT(ISBLANK(XLOOKUP($A497,RetirementPlan!$B:$B,RetirementPlan!$N:$N,""))),XLOOKUP($A497,RetirementPlan!$B:$B,RetirementPlan!$N:$N,""),LET(cid,$A497,c,FILTER(LocationPlan!$D:$D,LocationPlan!$C:$C=cid),p,FILTER(LocationPlan!$E:$E,LocationPlan!$C:$C=cid),IFERROR(INDEX(c,MATCH(MAX(p),p,0)),""))))</f>
        <v/>
      </c>
    </row>
    <row r="498">
      <c r="B498">
        <f>IF($A498="","",XLOOKUP($A498,Clients!$A:$A,Clients!$D:$D)&amp;" "&amp;XLOOKUP($A498,Clients!$A:$A,Clients!$E:$E))</f>
        <v/>
      </c>
      <c r="C498">
        <f>IF($A498="","",DATEDIF(XLOOKUP($A498,Clients!$A:$A,Clients!$F:$F),VAL_DATE,"Y"))</f>
        <v/>
      </c>
      <c r="D498">
        <f>IF(OR($A498="",E498=""),"",E498-C498)</f>
        <v/>
      </c>
      <c r="E498">
        <f>IF($A498="","",XLOOKUP($A498,RetirementPlan!$B:$B,RetirementPlan!$C:$C,""))</f>
        <v/>
      </c>
      <c r="F498" s="9">
        <f>IF(OR($A498="",D498=""),"",FV(IF(IFERROR(XLOOKUP($A498,RetirementPlan!$B:$B,RetirementPlan!$K:$K,""),"")="",GROWTH,IFERROR(XLOOKUP($A498,RetirementPlan!$B:$B,RetirementPlan!$K:$K,""),"")),D498,-N(XLOOKUP($A498,RetirementPlan!$B:$B,RetirementPlan!$I:$I,0)),-SUMIFS(Assets!$J:$J,Assets!$B:$B,$A498,Assets!$R:$R,"Yes"),0))</f>
        <v/>
      </c>
      <c r="G498" s="9">
        <f>IF(OR($A498="",I498=""),"",MAX(0,(I498-J498)/IF(IFERROR(XLOOKUP($A498,RetirementPlan!$B:$B,RetirementPlan!$M:$M,""),"")="",SWR,IFERROR(XLOOKUP($A498,RetirementPlan!$B:$B,RetirementPlan!$M:$M,""),""))))</f>
        <v/>
      </c>
      <c r="H498" s="9">
        <f>IF(OR($A498="",F498="",G498=""),"",F498-G498)</f>
        <v/>
      </c>
      <c r="I498" s="9">
        <f>IF($A498="","",XLOOKUP($A498,RetirementPlan!$B:$B,RetirementPlan!$E:$E,""))</f>
        <v/>
      </c>
      <c r="J498" s="9">
        <f>IF($A498="","",N(XLOOKUP($A498,RetirementPlan!$B:$B,RetirementPlan!$G:$G,0))+N(XLOOKUP($A498,RetirementPlan!$B:$B,RetirementPlan!$H:$H,0)))</f>
        <v/>
      </c>
      <c r="K498">
        <f>IF($A498="","",IF(NOT(ISBLANK(XLOOKUP($A498,RetirementPlan!$B:$B,RetirementPlan!$N:$N,""))),XLOOKUP($A498,RetirementPlan!$B:$B,RetirementPlan!$N:$N,""),LET(cid,$A498,c,FILTER(LocationPlan!$D:$D,LocationPlan!$C:$C=cid),p,FILTER(LocationPlan!$E:$E,LocationPlan!$C:$C=cid),IFERROR(INDEX(c,MATCH(MAX(p),p,0)),""))))</f>
        <v/>
      </c>
    </row>
    <row r="499">
      <c r="B499">
        <f>IF($A499="","",XLOOKUP($A499,Clients!$A:$A,Clients!$D:$D)&amp;" "&amp;XLOOKUP($A499,Clients!$A:$A,Clients!$E:$E))</f>
        <v/>
      </c>
      <c r="C499">
        <f>IF($A499="","",DATEDIF(XLOOKUP($A499,Clients!$A:$A,Clients!$F:$F),VAL_DATE,"Y"))</f>
        <v/>
      </c>
      <c r="D499">
        <f>IF(OR($A499="",E499=""),"",E499-C499)</f>
        <v/>
      </c>
      <c r="E499">
        <f>IF($A499="","",XLOOKUP($A499,RetirementPlan!$B:$B,RetirementPlan!$C:$C,""))</f>
        <v/>
      </c>
      <c r="F499" s="9">
        <f>IF(OR($A499="",D499=""),"",FV(IF(IFERROR(XLOOKUP($A499,RetirementPlan!$B:$B,RetirementPlan!$K:$K,""),"")="",GROWTH,IFERROR(XLOOKUP($A499,RetirementPlan!$B:$B,RetirementPlan!$K:$K,""),"")),D499,-N(XLOOKUP($A499,RetirementPlan!$B:$B,RetirementPlan!$I:$I,0)),-SUMIFS(Assets!$J:$J,Assets!$B:$B,$A499,Assets!$R:$R,"Yes"),0))</f>
        <v/>
      </c>
      <c r="G499" s="9">
        <f>IF(OR($A499="",I499=""),"",MAX(0,(I499-J499)/IF(IFERROR(XLOOKUP($A499,RetirementPlan!$B:$B,RetirementPlan!$M:$M,""),"")="",SWR,IFERROR(XLOOKUP($A499,RetirementPlan!$B:$B,RetirementPlan!$M:$M,""),""))))</f>
        <v/>
      </c>
      <c r="H499" s="9">
        <f>IF(OR($A499="",F499="",G499=""),"",F499-G499)</f>
        <v/>
      </c>
      <c r="I499" s="9">
        <f>IF($A499="","",XLOOKUP($A499,RetirementPlan!$B:$B,RetirementPlan!$E:$E,""))</f>
        <v/>
      </c>
      <c r="J499" s="9">
        <f>IF($A499="","",N(XLOOKUP($A499,RetirementPlan!$B:$B,RetirementPlan!$G:$G,0))+N(XLOOKUP($A499,RetirementPlan!$B:$B,RetirementPlan!$H:$H,0)))</f>
        <v/>
      </c>
      <c r="K499">
        <f>IF($A499="","",IF(NOT(ISBLANK(XLOOKUP($A499,RetirementPlan!$B:$B,RetirementPlan!$N:$N,""))),XLOOKUP($A499,RetirementPlan!$B:$B,RetirementPlan!$N:$N,""),LET(cid,$A499,c,FILTER(LocationPlan!$D:$D,LocationPlan!$C:$C=cid),p,FILTER(LocationPlan!$E:$E,LocationPlan!$C:$C=cid),IFERROR(INDEX(c,MATCH(MAX(p),p,0)),""))))</f>
        <v/>
      </c>
    </row>
    <row r="500">
      <c r="B500">
        <f>IF($A500="","",XLOOKUP($A500,Clients!$A:$A,Clients!$D:$D)&amp;" "&amp;XLOOKUP($A500,Clients!$A:$A,Clients!$E:$E))</f>
        <v/>
      </c>
      <c r="C500">
        <f>IF($A500="","",DATEDIF(XLOOKUP($A500,Clients!$A:$A,Clients!$F:$F),VAL_DATE,"Y"))</f>
        <v/>
      </c>
      <c r="D500">
        <f>IF(OR($A500="",E500=""),"",E500-C500)</f>
        <v/>
      </c>
      <c r="E500">
        <f>IF($A500="","",XLOOKUP($A500,RetirementPlan!$B:$B,RetirementPlan!$C:$C,""))</f>
        <v/>
      </c>
      <c r="F500" s="9">
        <f>IF(OR($A500="",D500=""),"",FV(IF(IFERROR(XLOOKUP($A500,RetirementPlan!$B:$B,RetirementPlan!$K:$K,""),"")="",GROWTH,IFERROR(XLOOKUP($A500,RetirementPlan!$B:$B,RetirementPlan!$K:$K,""),"")),D500,-N(XLOOKUP($A500,RetirementPlan!$B:$B,RetirementPlan!$I:$I,0)),-SUMIFS(Assets!$J:$J,Assets!$B:$B,$A500,Assets!$R:$R,"Yes"),0))</f>
        <v/>
      </c>
      <c r="G500" s="9">
        <f>IF(OR($A500="",I500=""),"",MAX(0,(I500-J500)/IF(IFERROR(XLOOKUP($A500,RetirementPlan!$B:$B,RetirementPlan!$M:$M,""),"")="",SWR,IFERROR(XLOOKUP($A500,RetirementPlan!$B:$B,RetirementPlan!$M:$M,""),""))))</f>
        <v/>
      </c>
      <c r="H500" s="9">
        <f>IF(OR($A500="",F500="",G500=""),"",F500-G500)</f>
        <v/>
      </c>
      <c r="I500" s="9">
        <f>IF($A500="","",XLOOKUP($A500,RetirementPlan!$B:$B,RetirementPlan!$E:$E,""))</f>
        <v/>
      </c>
      <c r="J500" s="9">
        <f>IF($A500="","",N(XLOOKUP($A500,RetirementPlan!$B:$B,RetirementPlan!$G:$G,0))+N(XLOOKUP($A500,RetirementPlan!$B:$B,RetirementPlan!$H:$H,0)))</f>
        <v/>
      </c>
      <c r="K500">
        <f>IF($A500="","",IF(NOT(ISBLANK(XLOOKUP($A500,RetirementPlan!$B:$B,RetirementPlan!$N:$N,""))),XLOOKUP($A500,RetirementPlan!$B:$B,RetirementPlan!$N:$N,""),LET(cid,$A500,c,FILTER(LocationPlan!$D:$D,LocationPlan!$C:$C=cid),p,FILTER(LocationPlan!$E:$E,LocationPlan!$C:$C=cid),IFERROR(INDEX(c,MATCH(MAX(p),p,0)),""))))</f>
        <v/>
      </c>
    </row>
    <row r="501">
      <c r="B501">
        <f>IF($A501="","",XLOOKUP($A501,Clients!$A:$A,Clients!$D:$D)&amp;" "&amp;XLOOKUP($A501,Clients!$A:$A,Clients!$E:$E))</f>
        <v/>
      </c>
      <c r="C501">
        <f>IF($A501="","",DATEDIF(XLOOKUP($A501,Clients!$A:$A,Clients!$F:$F),VAL_DATE,"Y"))</f>
        <v/>
      </c>
      <c r="D501">
        <f>IF(OR($A501="",E501=""),"",E501-C501)</f>
        <v/>
      </c>
      <c r="E501">
        <f>IF($A501="","",XLOOKUP($A501,RetirementPlan!$B:$B,RetirementPlan!$C:$C,""))</f>
        <v/>
      </c>
      <c r="F501" s="9">
        <f>IF(OR($A501="",D501=""),"",FV(IF(IFERROR(XLOOKUP($A501,RetirementPlan!$B:$B,RetirementPlan!$K:$K,""),"")="",GROWTH,IFERROR(XLOOKUP($A501,RetirementPlan!$B:$B,RetirementPlan!$K:$K,""),"")),D501,-N(XLOOKUP($A501,RetirementPlan!$B:$B,RetirementPlan!$I:$I,0)),-SUMIFS(Assets!$J:$J,Assets!$B:$B,$A501,Assets!$R:$R,"Yes"),0))</f>
        <v/>
      </c>
      <c r="G501" s="9">
        <f>IF(OR($A501="",I501=""),"",MAX(0,(I501-J501)/IF(IFERROR(XLOOKUP($A501,RetirementPlan!$B:$B,RetirementPlan!$M:$M,""),"")="",SWR,IFERROR(XLOOKUP($A501,RetirementPlan!$B:$B,RetirementPlan!$M:$M,""),""))))</f>
        <v/>
      </c>
      <c r="H501" s="9">
        <f>IF(OR($A501="",F501="",G501=""),"",F501-G501)</f>
        <v/>
      </c>
      <c r="I501" s="9">
        <f>IF($A501="","",XLOOKUP($A501,RetirementPlan!$B:$B,RetirementPlan!$E:$E,""))</f>
        <v/>
      </c>
      <c r="J501" s="9">
        <f>IF($A501="","",N(XLOOKUP($A501,RetirementPlan!$B:$B,RetirementPlan!$G:$G,0))+N(XLOOKUP($A501,RetirementPlan!$B:$B,RetirementPlan!$H:$H,0)))</f>
        <v/>
      </c>
      <c r="K501">
        <f>IF($A501="","",IF(NOT(ISBLANK(XLOOKUP($A501,RetirementPlan!$B:$B,RetirementPlan!$N:$N,""))),XLOOKUP($A501,RetirementPlan!$B:$B,RetirementPlan!$N:$N,""),LET(cid,$A501,c,FILTER(LocationPlan!$D:$D,LocationPlan!$C:$C=cid),p,FILTER(LocationPlan!$E:$E,LocationPlan!$C:$C=cid),IFERROR(INDEX(c,MATCH(MAX(p),p,0)),""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3" customWidth="1" min="4" max="4"/>
    <col width="10" customWidth="1" min="5" max="5"/>
    <col width="15" customWidth="1" min="6" max="6"/>
    <col width="20" customWidth="1" min="7" max="7"/>
    <col width="14" customWidth="1" min="8" max="8"/>
    <col width="13" customWidth="1" min="9" max="9"/>
    <col width="17" customWidth="1" min="10" max="10"/>
    <col width="19" customWidth="1" min="11" max="11"/>
    <col width="23" customWidth="1" min="12" max="12"/>
    <col width="21" customWidth="1" min="13" max="13"/>
  </cols>
  <sheetData>
    <row r="1" ht="22" customHeight="1">
      <c r="A1" s="4" t="inlineStr">
        <is>
          <t>MeetingID</t>
        </is>
      </c>
      <c r="B1" s="4" t="inlineStr">
        <is>
          <t>MeetingDateTime</t>
        </is>
      </c>
      <c r="C1" s="4" t="inlineStr">
        <is>
          <t>Adviser</t>
        </is>
      </c>
      <c r="D1" s="4" t="inlineStr">
        <is>
          <t>MeetingType</t>
        </is>
      </c>
      <c r="E1" s="4" t="inlineStr">
        <is>
          <t>Channel</t>
        </is>
      </c>
      <c r="F1" s="4" t="inlineStr">
        <is>
          <t>RecordingLink</t>
        </is>
      </c>
      <c r="G1" s="4" t="inlineStr">
        <is>
          <t>TranscriptFileName</t>
        </is>
      </c>
      <c r="H1" s="4" t="inlineStr">
        <is>
          <t>Participants</t>
        </is>
      </c>
      <c r="I1" s="4" t="inlineStr">
        <is>
          <t>HouseholdID</t>
        </is>
      </c>
      <c r="J1" s="4" t="inlineStr">
        <is>
          <t>PrimaryClientID</t>
        </is>
      </c>
      <c r="K1" s="4" t="inlineStr">
        <is>
          <t>SecondaryClientID</t>
        </is>
      </c>
      <c r="L1" s="4" t="inlineStr">
        <is>
          <t>MeetingOutcomeSummary</t>
        </is>
      </c>
      <c r="M1" s="4" t="inlineStr">
        <is>
          <t>NextMeetingProposed</t>
        </is>
      </c>
    </row>
    <row r="2">
      <c r="B2" s="5" t="n"/>
      <c r="M2" s="5" t="n"/>
    </row>
    <row r="3">
      <c r="B3" s="5" t="n"/>
      <c r="M3" s="5" t="n"/>
    </row>
    <row r="4">
      <c r="B4" s="5" t="n"/>
      <c r="M4" s="5" t="n"/>
    </row>
    <row r="5">
      <c r="B5" s="5" t="n"/>
      <c r="M5" s="5" t="n"/>
    </row>
    <row r="6">
      <c r="B6" s="5" t="n"/>
      <c r="M6" s="5" t="n"/>
    </row>
    <row r="7">
      <c r="B7" s="5" t="n"/>
      <c r="M7" s="5" t="n"/>
    </row>
    <row r="8">
      <c r="B8" s="5" t="n"/>
      <c r="M8" s="5" t="n"/>
    </row>
    <row r="9">
      <c r="B9" s="5" t="n"/>
      <c r="M9" s="5" t="n"/>
    </row>
    <row r="10">
      <c r="B10" s="5" t="n"/>
      <c r="M10" s="5" t="n"/>
    </row>
    <row r="11">
      <c r="B11" s="5" t="n"/>
      <c r="M11" s="5" t="n"/>
    </row>
    <row r="12">
      <c r="B12" s="5" t="n"/>
      <c r="M12" s="5" t="n"/>
    </row>
    <row r="13">
      <c r="B13" s="5" t="n"/>
      <c r="M13" s="5" t="n"/>
    </row>
    <row r="14">
      <c r="B14" s="5" t="n"/>
      <c r="M14" s="5" t="n"/>
    </row>
    <row r="15">
      <c r="B15" s="5" t="n"/>
      <c r="M15" s="5" t="n"/>
    </row>
    <row r="16">
      <c r="B16" s="5" t="n"/>
      <c r="M16" s="5" t="n"/>
    </row>
    <row r="17">
      <c r="B17" s="5" t="n"/>
      <c r="M17" s="5" t="n"/>
    </row>
    <row r="18">
      <c r="B18" s="5" t="n"/>
      <c r="M18" s="5" t="n"/>
    </row>
    <row r="19">
      <c r="B19" s="5" t="n"/>
      <c r="M19" s="5" t="n"/>
    </row>
    <row r="20">
      <c r="B20" s="5" t="n"/>
      <c r="M20" s="5" t="n"/>
    </row>
    <row r="21">
      <c r="B21" s="5" t="n"/>
      <c r="M21" s="5" t="n"/>
    </row>
    <row r="22">
      <c r="B22" s="5" t="n"/>
      <c r="M22" s="5" t="n"/>
    </row>
    <row r="23">
      <c r="B23" s="5" t="n"/>
      <c r="M23" s="5" t="n"/>
    </row>
    <row r="24">
      <c r="B24" s="5" t="n"/>
      <c r="M24" s="5" t="n"/>
    </row>
    <row r="25">
      <c r="B25" s="5" t="n"/>
      <c r="M25" s="5" t="n"/>
    </row>
    <row r="26">
      <c r="B26" s="5" t="n"/>
      <c r="M26" s="5" t="n"/>
    </row>
    <row r="27">
      <c r="B27" s="5" t="n"/>
      <c r="M27" s="5" t="n"/>
    </row>
    <row r="28">
      <c r="B28" s="5" t="n"/>
      <c r="M28" s="5" t="n"/>
    </row>
    <row r="29">
      <c r="B29" s="5" t="n"/>
      <c r="M29" s="5" t="n"/>
    </row>
    <row r="30">
      <c r="B30" s="5" t="n"/>
      <c r="M30" s="5" t="n"/>
    </row>
    <row r="31">
      <c r="B31" s="5" t="n"/>
      <c r="M31" s="5" t="n"/>
    </row>
    <row r="32">
      <c r="B32" s="5" t="n"/>
      <c r="M32" s="5" t="n"/>
    </row>
    <row r="33">
      <c r="B33" s="5" t="n"/>
      <c r="M33" s="5" t="n"/>
    </row>
    <row r="34">
      <c r="B34" s="5" t="n"/>
      <c r="M34" s="5" t="n"/>
    </row>
    <row r="35">
      <c r="B35" s="5" t="n"/>
      <c r="M35" s="5" t="n"/>
    </row>
    <row r="36">
      <c r="B36" s="5" t="n"/>
      <c r="M36" s="5" t="n"/>
    </row>
    <row r="37">
      <c r="B37" s="5" t="n"/>
      <c r="M37" s="5" t="n"/>
    </row>
    <row r="38">
      <c r="B38" s="5" t="n"/>
      <c r="M38" s="5" t="n"/>
    </row>
    <row r="39">
      <c r="B39" s="5" t="n"/>
      <c r="M39" s="5" t="n"/>
    </row>
    <row r="40">
      <c r="B40" s="5" t="n"/>
      <c r="M40" s="5" t="n"/>
    </row>
    <row r="41">
      <c r="B41" s="5" t="n"/>
      <c r="M41" s="5" t="n"/>
    </row>
    <row r="42">
      <c r="B42" s="5" t="n"/>
      <c r="M42" s="5" t="n"/>
    </row>
    <row r="43">
      <c r="B43" s="5" t="n"/>
      <c r="M43" s="5" t="n"/>
    </row>
    <row r="44">
      <c r="B44" s="5" t="n"/>
      <c r="M44" s="5" t="n"/>
    </row>
    <row r="45">
      <c r="B45" s="5" t="n"/>
      <c r="M45" s="5" t="n"/>
    </row>
    <row r="46">
      <c r="B46" s="5" t="n"/>
      <c r="M46" s="5" t="n"/>
    </row>
    <row r="47">
      <c r="B47" s="5" t="n"/>
      <c r="M47" s="5" t="n"/>
    </row>
    <row r="48">
      <c r="B48" s="5" t="n"/>
      <c r="M48" s="5" t="n"/>
    </row>
    <row r="49">
      <c r="B49" s="5" t="n"/>
      <c r="M49" s="5" t="n"/>
    </row>
    <row r="50">
      <c r="B50" s="5" t="n"/>
      <c r="M50" s="5" t="n"/>
    </row>
    <row r="51">
      <c r="B51" s="5" t="n"/>
      <c r="M51" s="5" t="n"/>
    </row>
    <row r="52">
      <c r="B52" s="5" t="n"/>
      <c r="M52" s="5" t="n"/>
    </row>
    <row r="53">
      <c r="B53" s="5" t="n"/>
      <c r="M53" s="5" t="n"/>
    </row>
    <row r="54">
      <c r="B54" s="5" t="n"/>
      <c r="M54" s="5" t="n"/>
    </row>
    <row r="55">
      <c r="B55" s="5" t="n"/>
      <c r="M55" s="5" t="n"/>
    </row>
    <row r="56">
      <c r="B56" s="5" t="n"/>
      <c r="M56" s="5" t="n"/>
    </row>
    <row r="57">
      <c r="B57" s="5" t="n"/>
      <c r="M57" s="5" t="n"/>
    </row>
    <row r="58">
      <c r="B58" s="5" t="n"/>
      <c r="M58" s="5" t="n"/>
    </row>
    <row r="59">
      <c r="B59" s="5" t="n"/>
      <c r="M59" s="5" t="n"/>
    </row>
    <row r="60">
      <c r="B60" s="5" t="n"/>
      <c r="M60" s="5" t="n"/>
    </row>
    <row r="61">
      <c r="B61" s="5" t="n"/>
      <c r="M61" s="5" t="n"/>
    </row>
    <row r="62">
      <c r="B62" s="5" t="n"/>
      <c r="M62" s="5" t="n"/>
    </row>
    <row r="63">
      <c r="B63" s="5" t="n"/>
      <c r="M63" s="5" t="n"/>
    </row>
    <row r="64">
      <c r="B64" s="5" t="n"/>
      <c r="M64" s="5" t="n"/>
    </row>
    <row r="65">
      <c r="B65" s="5" t="n"/>
      <c r="M65" s="5" t="n"/>
    </row>
    <row r="66">
      <c r="B66" s="5" t="n"/>
      <c r="M66" s="5" t="n"/>
    </row>
    <row r="67">
      <c r="B67" s="5" t="n"/>
      <c r="M67" s="5" t="n"/>
    </row>
    <row r="68">
      <c r="B68" s="5" t="n"/>
      <c r="M68" s="5" t="n"/>
    </row>
    <row r="69">
      <c r="B69" s="5" t="n"/>
      <c r="M69" s="5" t="n"/>
    </row>
    <row r="70">
      <c r="B70" s="5" t="n"/>
      <c r="M70" s="5" t="n"/>
    </row>
    <row r="71">
      <c r="B71" s="5" t="n"/>
      <c r="M71" s="5" t="n"/>
    </row>
    <row r="72">
      <c r="B72" s="5" t="n"/>
      <c r="M72" s="5" t="n"/>
    </row>
    <row r="73">
      <c r="B73" s="5" t="n"/>
      <c r="M73" s="5" t="n"/>
    </row>
    <row r="74">
      <c r="B74" s="5" t="n"/>
      <c r="M74" s="5" t="n"/>
    </row>
    <row r="75">
      <c r="B75" s="5" t="n"/>
      <c r="M75" s="5" t="n"/>
    </row>
    <row r="76">
      <c r="B76" s="5" t="n"/>
      <c r="M76" s="5" t="n"/>
    </row>
    <row r="77">
      <c r="B77" s="5" t="n"/>
      <c r="M77" s="5" t="n"/>
    </row>
    <row r="78">
      <c r="B78" s="5" t="n"/>
      <c r="M78" s="5" t="n"/>
    </row>
    <row r="79">
      <c r="B79" s="5" t="n"/>
      <c r="M79" s="5" t="n"/>
    </row>
    <row r="80">
      <c r="B80" s="5" t="n"/>
      <c r="M80" s="5" t="n"/>
    </row>
    <row r="81">
      <c r="B81" s="5" t="n"/>
      <c r="M81" s="5" t="n"/>
    </row>
    <row r="82">
      <c r="B82" s="5" t="n"/>
      <c r="M82" s="5" t="n"/>
    </row>
    <row r="83">
      <c r="B83" s="5" t="n"/>
      <c r="M83" s="5" t="n"/>
    </row>
    <row r="84">
      <c r="B84" s="5" t="n"/>
      <c r="M84" s="5" t="n"/>
    </row>
    <row r="85">
      <c r="B85" s="5" t="n"/>
      <c r="M85" s="5" t="n"/>
    </row>
    <row r="86">
      <c r="B86" s="5" t="n"/>
      <c r="M86" s="5" t="n"/>
    </row>
    <row r="87">
      <c r="B87" s="5" t="n"/>
      <c r="M87" s="5" t="n"/>
    </row>
    <row r="88">
      <c r="B88" s="5" t="n"/>
      <c r="M88" s="5" t="n"/>
    </row>
    <row r="89">
      <c r="B89" s="5" t="n"/>
      <c r="M89" s="5" t="n"/>
    </row>
    <row r="90">
      <c r="B90" s="5" t="n"/>
      <c r="M90" s="5" t="n"/>
    </row>
    <row r="91">
      <c r="B91" s="5" t="n"/>
      <c r="M91" s="5" t="n"/>
    </row>
    <row r="92">
      <c r="B92" s="5" t="n"/>
      <c r="M92" s="5" t="n"/>
    </row>
    <row r="93">
      <c r="B93" s="5" t="n"/>
      <c r="M93" s="5" t="n"/>
    </row>
    <row r="94">
      <c r="B94" s="5" t="n"/>
      <c r="M94" s="5" t="n"/>
    </row>
    <row r="95">
      <c r="B95" s="5" t="n"/>
      <c r="M95" s="5" t="n"/>
    </row>
    <row r="96">
      <c r="B96" s="5" t="n"/>
      <c r="M96" s="5" t="n"/>
    </row>
    <row r="97">
      <c r="B97" s="5" t="n"/>
      <c r="M97" s="5" t="n"/>
    </row>
    <row r="98">
      <c r="B98" s="5" t="n"/>
      <c r="M98" s="5" t="n"/>
    </row>
    <row r="99">
      <c r="B99" s="5" t="n"/>
      <c r="M99" s="5" t="n"/>
    </row>
    <row r="100">
      <c r="B100" s="5" t="n"/>
      <c r="M100" s="5" t="n"/>
    </row>
    <row r="101">
      <c r="B101" s="5" t="n"/>
      <c r="M101" s="5" t="n"/>
    </row>
    <row r="102">
      <c r="B102" s="5" t="n"/>
      <c r="M102" s="5" t="n"/>
    </row>
    <row r="103">
      <c r="B103" s="5" t="n"/>
      <c r="M103" s="5" t="n"/>
    </row>
    <row r="104">
      <c r="B104" s="5" t="n"/>
      <c r="M104" s="5" t="n"/>
    </row>
    <row r="105">
      <c r="B105" s="5" t="n"/>
      <c r="M105" s="5" t="n"/>
    </row>
    <row r="106">
      <c r="B106" s="5" t="n"/>
      <c r="M106" s="5" t="n"/>
    </row>
    <row r="107">
      <c r="B107" s="5" t="n"/>
      <c r="M107" s="5" t="n"/>
    </row>
    <row r="108">
      <c r="B108" s="5" t="n"/>
      <c r="M108" s="5" t="n"/>
    </row>
    <row r="109">
      <c r="B109" s="5" t="n"/>
      <c r="M109" s="5" t="n"/>
    </row>
    <row r="110">
      <c r="B110" s="5" t="n"/>
      <c r="M110" s="5" t="n"/>
    </row>
    <row r="111">
      <c r="B111" s="5" t="n"/>
      <c r="M111" s="5" t="n"/>
    </row>
    <row r="112">
      <c r="B112" s="5" t="n"/>
      <c r="M112" s="5" t="n"/>
    </row>
    <row r="113">
      <c r="B113" s="5" t="n"/>
      <c r="M113" s="5" t="n"/>
    </row>
    <row r="114">
      <c r="B114" s="5" t="n"/>
      <c r="M114" s="5" t="n"/>
    </row>
    <row r="115">
      <c r="B115" s="5" t="n"/>
      <c r="M115" s="5" t="n"/>
    </row>
    <row r="116">
      <c r="B116" s="5" t="n"/>
      <c r="M116" s="5" t="n"/>
    </row>
    <row r="117">
      <c r="B117" s="5" t="n"/>
      <c r="M117" s="5" t="n"/>
    </row>
    <row r="118">
      <c r="B118" s="5" t="n"/>
      <c r="M118" s="5" t="n"/>
    </row>
    <row r="119">
      <c r="B119" s="5" t="n"/>
      <c r="M119" s="5" t="n"/>
    </row>
    <row r="120">
      <c r="B120" s="5" t="n"/>
      <c r="M120" s="5" t="n"/>
    </row>
    <row r="121">
      <c r="B121" s="5" t="n"/>
      <c r="M121" s="5" t="n"/>
    </row>
    <row r="122">
      <c r="B122" s="5" t="n"/>
      <c r="M122" s="5" t="n"/>
    </row>
    <row r="123">
      <c r="B123" s="5" t="n"/>
      <c r="M123" s="5" t="n"/>
    </row>
    <row r="124">
      <c r="B124" s="5" t="n"/>
      <c r="M124" s="5" t="n"/>
    </row>
    <row r="125">
      <c r="B125" s="5" t="n"/>
      <c r="M125" s="5" t="n"/>
    </row>
    <row r="126">
      <c r="B126" s="5" t="n"/>
      <c r="M126" s="5" t="n"/>
    </row>
    <row r="127">
      <c r="B127" s="5" t="n"/>
      <c r="M127" s="5" t="n"/>
    </row>
    <row r="128">
      <c r="B128" s="5" t="n"/>
      <c r="M128" s="5" t="n"/>
    </row>
    <row r="129">
      <c r="B129" s="5" t="n"/>
      <c r="M129" s="5" t="n"/>
    </row>
    <row r="130">
      <c r="B130" s="5" t="n"/>
      <c r="M130" s="5" t="n"/>
    </row>
    <row r="131">
      <c r="B131" s="5" t="n"/>
      <c r="M131" s="5" t="n"/>
    </row>
    <row r="132">
      <c r="B132" s="5" t="n"/>
      <c r="M132" s="5" t="n"/>
    </row>
    <row r="133">
      <c r="B133" s="5" t="n"/>
      <c r="M133" s="5" t="n"/>
    </row>
    <row r="134">
      <c r="B134" s="5" t="n"/>
      <c r="M134" s="5" t="n"/>
    </row>
    <row r="135">
      <c r="B135" s="5" t="n"/>
      <c r="M135" s="5" t="n"/>
    </row>
    <row r="136">
      <c r="B136" s="5" t="n"/>
      <c r="M136" s="5" t="n"/>
    </row>
    <row r="137">
      <c r="B137" s="5" t="n"/>
      <c r="M137" s="5" t="n"/>
    </row>
    <row r="138">
      <c r="B138" s="5" t="n"/>
      <c r="M138" s="5" t="n"/>
    </row>
    <row r="139">
      <c r="B139" s="5" t="n"/>
      <c r="M139" s="5" t="n"/>
    </row>
    <row r="140">
      <c r="B140" s="5" t="n"/>
      <c r="M140" s="5" t="n"/>
    </row>
    <row r="141">
      <c r="B141" s="5" t="n"/>
      <c r="M141" s="5" t="n"/>
    </row>
    <row r="142">
      <c r="B142" s="5" t="n"/>
      <c r="M142" s="5" t="n"/>
    </row>
    <row r="143">
      <c r="B143" s="5" t="n"/>
      <c r="M143" s="5" t="n"/>
    </row>
    <row r="144">
      <c r="B144" s="5" t="n"/>
      <c r="M144" s="5" t="n"/>
    </row>
    <row r="145">
      <c r="B145" s="5" t="n"/>
      <c r="M145" s="5" t="n"/>
    </row>
    <row r="146">
      <c r="B146" s="5" t="n"/>
      <c r="M146" s="5" t="n"/>
    </row>
    <row r="147">
      <c r="B147" s="5" t="n"/>
      <c r="M147" s="5" t="n"/>
    </row>
    <row r="148">
      <c r="B148" s="5" t="n"/>
      <c r="M148" s="5" t="n"/>
    </row>
    <row r="149">
      <c r="B149" s="5" t="n"/>
      <c r="M149" s="5" t="n"/>
    </row>
    <row r="150">
      <c r="B150" s="5" t="n"/>
      <c r="M150" s="5" t="n"/>
    </row>
    <row r="151">
      <c r="B151" s="5" t="n"/>
      <c r="M151" s="5" t="n"/>
    </row>
    <row r="152">
      <c r="B152" s="5" t="n"/>
      <c r="M152" s="5" t="n"/>
    </row>
    <row r="153">
      <c r="B153" s="5" t="n"/>
      <c r="M153" s="5" t="n"/>
    </row>
    <row r="154">
      <c r="B154" s="5" t="n"/>
      <c r="M154" s="5" t="n"/>
    </row>
    <row r="155">
      <c r="B155" s="5" t="n"/>
      <c r="M155" s="5" t="n"/>
    </row>
    <row r="156">
      <c r="B156" s="5" t="n"/>
      <c r="M156" s="5" t="n"/>
    </row>
    <row r="157">
      <c r="B157" s="5" t="n"/>
      <c r="M157" s="5" t="n"/>
    </row>
    <row r="158">
      <c r="B158" s="5" t="n"/>
      <c r="M158" s="5" t="n"/>
    </row>
    <row r="159">
      <c r="B159" s="5" t="n"/>
      <c r="M159" s="5" t="n"/>
    </row>
    <row r="160">
      <c r="B160" s="5" t="n"/>
      <c r="M160" s="5" t="n"/>
    </row>
    <row r="161">
      <c r="B161" s="5" t="n"/>
      <c r="M161" s="5" t="n"/>
    </row>
    <row r="162">
      <c r="B162" s="5" t="n"/>
      <c r="M162" s="5" t="n"/>
    </row>
    <row r="163">
      <c r="B163" s="5" t="n"/>
      <c r="M163" s="5" t="n"/>
    </row>
    <row r="164">
      <c r="B164" s="5" t="n"/>
      <c r="M164" s="5" t="n"/>
    </row>
    <row r="165">
      <c r="B165" s="5" t="n"/>
      <c r="M165" s="5" t="n"/>
    </row>
    <row r="166">
      <c r="B166" s="5" t="n"/>
      <c r="M166" s="5" t="n"/>
    </row>
    <row r="167">
      <c r="B167" s="5" t="n"/>
      <c r="M167" s="5" t="n"/>
    </row>
    <row r="168">
      <c r="B168" s="5" t="n"/>
      <c r="M168" s="5" t="n"/>
    </row>
    <row r="169">
      <c r="B169" s="5" t="n"/>
      <c r="M169" s="5" t="n"/>
    </row>
    <row r="170">
      <c r="B170" s="5" t="n"/>
      <c r="M170" s="5" t="n"/>
    </row>
    <row r="171">
      <c r="B171" s="5" t="n"/>
      <c r="M171" s="5" t="n"/>
    </row>
    <row r="172">
      <c r="B172" s="5" t="n"/>
      <c r="M172" s="5" t="n"/>
    </row>
    <row r="173">
      <c r="B173" s="5" t="n"/>
      <c r="M173" s="5" t="n"/>
    </row>
    <row r="174">
      <c r="B174" s="5" t="n"/>
      <c r="M174" s="5" t="n"/>
    </row>
    <row r="175">
      <c r="B175" s="5" t="n"/>
      <c r="M175" s="5" t="n"/>
    </row>
    <row r="176">
      <c r="B176" s="5" t="n"/>
      <c r="M176" s="5" t="n"/>
    </row>
    <row r="177">
      <c r="B177" s="5" t="n"/>
      <c r="M177" s="5" t="n"/>
    </row>
    <row r="178">
      <c r="B178" s="5" t="n"/>
      <c r="M178" s="5" t="n"/>
    </row>
    <row r="179">
      <c r="B179" s="5" t="n"/>
      <c r="M179" s="5" t="n"/>
    </row>
    <row r="180">
      <c r="B180" s="5" t="n"/>
      <c r="M180" s="5" t="n"/>
    </row>
    <row r="181">
      <c r="B181" s="5" t="n"/>
      <c r="M181" s="5" t="n"/>
    </row>
    <row r="182">
      <c r="B182" s="5" t="n"/>
      <c r="M182" s="5" t="n"/>
    </row>
    <row r="183">
      <c r="B183" s="5" t="n"/>
      <c r="M183" s="5" t="n"/>
    </row>
    <row r="184">
      <c r="B184" s="5" t="n"/>
      <c r="M184" s="5" t="n"/>
    </row>
    <row r="185">
      <c r="B185" s="5" t="n"/>
      <c r="M185" s="5" t="n"/>
    </row>
    <row r="186">
      <c r="B186" s="5" t="n"/>
      <c r="M186" s="5" t="n"/>
    </row>
    <row r="187">
      <c r="B187" s="5" t="n"/>
      <c r="M187" s="5" t="n"/>
    </row>
    <row r="188">
      <c r="B188" s="5" t="n"/>
      <c r="M188" s="5" t="n"/>
    </row>
    <row r="189">
      <c r="B189" s="5" t="n"/>
      <c r="M189" s="5" t="n"/>
    </row>
    <row r="190">
      <c r="B190" s="5" t="n"/>
      <c r="M190" s="5" t="n"/>
    </row>
    <row r="191">
      <c r="B191" s="5" t="n"/>
      <c r="M191" s="5" t="n"/>
    </row>
    <row r="192">
      <c r="B192" s="5" t="n"/>
      <c r="M192" s="5" t="n"/>
    </row>
    <row r="193">
      <c r="B193" s="5" t="n"/>
      <c r="M193" s="5" t="n"/>
    </row>
    <row r="194">
      <c r="B194" s="5" t="n"/>
      <c r="M194" s="5" t="n"/>
    </row>
    <row r="195">
      <c r="B195" s="5" t="n"/>
      <c r="M195" s="5" t="n"/>
    </row>
    <row r="196">
      <c r="B196" s="5" t="n"/>
      <c r="M196" s="5" t="n"/>
    </row>
    <row r="197">
      <c r="B197" s="5" t="n"/>
      <c r="M197" s="5" t="n"/>
    </row>
    <row r="198">
      <c r="B198" s="5" t="n"/>
      <c r="M198" s="5" t="n"/>
    </row>
    <row r="199">
      <c r="B199" s="5" t="n"/>
      <c r="M199" s="5" t="n"/>
    </row>
    <row r="200">
      <c r="B200" s="5" t="n"/>
      <c r="M200" s="5" t="n"/>
    </row>
    <row r="201">
      <c r="B201" s="5" t="n"/>
      <c r="M201" s="5" t="n"/>
    </row>
    <row r="202">
      <c r="B202" s="5" t="n"/>
      <c r="M202" s="5" t="n"/>
    </row>
    <row r="203">
      <c r="B203" s="5" t="n"/>
      <c r="M203" s="5" t="n"/>
    </row>
    <row r="204">
      <c r="B204" s="5" t="n"/>
      <c r="M204" s="5" t="n"/>
    </row>
    <row r="205">
      <c r="B205" s="5" t="n"/>
      <c r="M205" s="5" t="n"/>
    </row>
    <row r="206">
      <c r="B206" s="5" t="n"/>
      <c r="M206" s="5" t="n"/>
    </row>
    <row r="207">
      <c r="B207" s="5" t="n"/>
      <c r="M207" s="5" t="n"/>
    </row>
    <row r="208">
      <c r="B208" s="5" t="n"/>
      <c r="M208" s="5" t="n"/>
    </row>
    <row r="209">
      <c r="B209" s="5" t="n"/>
      <c r="M209" s="5" t="n"/>
    </row>
    <row r="210">
      <c r="B210" s="5" t="n"/>
      <c r="M210" s="5" t="n"/>
    </row>
    <row r="211">
      <c r="B211" s="5" t="n"/>
      <c r="M211" s="5" t="n"/>
    </row>
    <row r="212">
      <c r="B212" s="5" t="n"/>
      <c r="M212" s="5" t="n"/>
    </row>
    <row r="213">
      <c r="B213" s="5" t="n"/>
      <c r="M213" s="5" t="n"/>
    </row>
    <row r="214">
      <c r="B214" s="5" t="n"/>
      <c r="M214" s="5" t="n"/>
    </row>
    <row r="215">
      <c r="B215" s="5" t="n"/>
      <c r="M215" s="5" t="n"/>
    </row>
    <row r="216">
      <c r="B216" s="5" t="n"/>
      <c r="M216" s="5" t="n"/>
    </row>
    <row r="217">
      <c r="B217" s="5" t="n"/>
      <c r="M217" s="5" t="n"/>
    </row>
    <row r="218">
      <c r="B218" s="5" t="n"/>
      <c r="M218" s="5" t="n"/>
    </row>
    <row r="219">
      <c r="B219" s="5" t="n"/>
      <c r="M219" s="5" t="n"/>
    </row>
    <row r="220">
      <c r="B220" s="5" t="n"/>
      <c r="M220" s="5" t="n"/>
    </row>
    <row r="221">
      <c r="B221" s="5" t="n"/>
      <c r="M221" s="5" t="n"/>
    </row>
    <row r="222">
      <c r="B222" s="5" t="n"/>
      <c r="M222" s="5" t="n"/>
    </row>
    <row r="223">
      <c r="B223" s="5" t="n"/>
      <c r="M223" s="5" t="n"/>
    </row>
    <row r="224">
      <c r="B224" s="5" t="n"/>
      <c r="M224" s="5" t="n"/>
    </row>
    <row r="225">
      <c r="B225" s="5" t="n"/>
      <c r="M225" s="5" t="n"/>
    </row>
    <row r="226">
      <c r="B226" s="5" t="n"/>
      <c r="M226" s="5" t="n"/>
    </row>
    <row r="227">
      <c r="B227" s="5" t="n"/>
      <c r="M227" s="5" t="n"/>
    </row>
    <row r="228">
      <c r="B228" s="5" t="n"/>
      <c r="M228" s="5" t="n"/>
    </row>
    <row r="229">
      <c r="B229" s="5" t="n"/>
      <c r="M229" s="5" t="n"/>
    </row>
    <row r="230">
      <c r="B230" s="5" t="n"/>
      <c r="M230" s="5" t="n"/>
    </row>
    <row r="231">
      <c r="B231" s="5" t="n"/>
      <c r="M231" s="5" t="n"/>
    </row>
    <row r="232">
      <c r="B232" s="5" t="n"/>
      <c r="M232" s="5" t="n"/>
    </row>
    <row r="233">
      <c r="B233" s="5" t="n"/>
      <c r="M233" s="5" t="n"/>
    </row>
    <row r="234">
      <c r="B234" s="5" t="n"/>
      <c r="M234" s="5" t="n"/>
    </row>
    <row r="235">
      <c r="B235" s="5" t="n"/>
      <c r="M235" s="5" t="n"/>
    </row>
    <row r="236">
      <c r="B236" s="5" t="n"/>
      <c r="M236" s="5" t="n"/>
    </row>
    <row r="237">
      <c r="B237" s="5" t="n"/>
      <c r="M237" s="5" t="n"/>
    </row>
    <row r="238">
      <c r="B238" s="5" t="n"/>
      <c r="M238" s="5" t="n"/>
    </row>
    <row r="239">
      <c r="B239" s="5" t="n"/>
      <c r="M239" s="5" t="n"/>
    </row>
    <row r="240">
      <c r="B240" s="5" t="n"/>
      <c r="M240" s="5" t="n"/>
    </row>
    <row r="241">
      <c r="B241" s="5" t="n"/>
      <c r="M241" s="5" t="n"/>
    </row>
    <row r="242">
      <c r="B242" s="5" t="n"/>
      <c r="M242" s="5" t="n"/>
    </row>
    <row r="243">
      <c r="B243" s="5" t="n"/>
      <c r="M243" s="5" t="n"/>
    </row>
    <row r="244">
      <c r="B244" s="5" t="n"/>
      <c r="M244" s="5" t="n"/>
    </row>
    <row r="245">
      <c r="B245" s="5" t="n"/>
      <c r="M245" s="5" t="n"/>
    </row>
    <row r="246">
      <c r="B246" s="5" t="n"/>
      <c r="M246" s="5" t="n"/>
    </row>
    <row r="247">
      <c r="B247" s="5" t="n"/>
      <c r="M247" s="5" t="n"/>
    </row>
    <row r="248">
      <c r="B248" s="5" t="n"/>
      <c r="M248" s="5" t="n"/>
    </row>
    <row r="249">
      <c r="B249" s="5" t="n"/>
      <c r="M249" s="5" t="n"/>
    </row>
    <row r="250">
      <c r="B250" s="5" t="n"/>
      <c r="M250" s="5" t="n"/>
    </row>
    <row r="251">
      <c r="B251" s="5" t="n"/>
      <c r="M251" s="5" t="n"/>
    </row>
    <row r="252">
      <c r="B252" s="5" t="n"/>
      <c r="M252" s="5" t="n"/>
    </row>
    <row r="253">
      <c r="B253" s="5" t="n"/>
      <c r="M253" s="5" t="n"/>
    </row>
    <row r="254">
      <c r="B254" s="5" t="n"/>
      <c r="M254" s="5" t="n"/>
    </row>
    <row r="255">
      <c r="B255" s="5" t="n"/>
      <c r="M255" s="5" t="n"/>
    </row>
    <row r="256">
      <c r="B256" s="5" t="n"/>
      <c r="M256" s="5" t="n"/>
    </row>
    <row r="257">
      <c r="B257" s="5" t="n"/>
      <c r="M257" s="5" t="n"/>
    </row>
    <row r="258">
      <c r="B258" s="5" t="n"/>
      <c r="M258" s="5" t="n"/>
    </row>
    <row r="259">
      <c r="B259" s="5" t="n"/>
      <c r="M259" s="5" t="n"/>
    </row>
    <row r="260">
      <c r="B260" s="5" t="n"/>
      <c r="M260" s="5" t="n"/>
    </row>
    <row r="261">
      <c r="B261" s="5" t="n"/>
      <c r="M261" s="5" t="n"/>
    </row>
    <row r="262">
      <c r="B262" s="5" t="n"/>
      <c r="M262" s="5" t="n"/>
    </row>
    <row r="263">
      <c r="B263" s="5" t="n"/>
      <c r="M263" s="5" t="n"/>
    </row>
    <row r="264">
      <c r="B264" s="5" t="n"/>
      <c r="M264" s="5" t="n"/>
    </row>
    <row r="265">
      <c r="B265" s="5" t="n"/>
      <c r="M265" s="5" t="n"/>
    </row>
    <row r="266">
      <c r="B266" s="5" t="n"/>
      <c r="M266" s="5" t="n"/>
    </row>
    <row r="267">
      <c r="B267" s="5" t="n"/>
      <c r="M267" s="5" t="n"/>
    </row>
    <row r="268">
      <c r="B268" s="5" t="n"/>
      <c r="M268" s="5" t="n"/>
    </row>
    <row r="269">
      <c r="B269" s="5" t="n"/>
      <c r="M269" s="5" t="n"/>
    </row>
    <row r="270">
      <c r="B270" s="5" t="n"/>
      <c r="M270" s="5" t="n"/>
    </row>
    <row r="271">
      <c r="B271" s="5" t="n"/>
      <c r="M271" s="5" t="n"/>
    </row>
    <row r="272">
      <c r="B272" s="5" t="n"/>
      <c r="M272" s="5" t="n"/>
    </row>
    <row r="273">
      <c r="B273" s="5" t="n"/>
      <c r="M273" s="5" t="n"/>
    </row>
    <row r="274">
      <c r="B274" s="5" t="n"/>
      <c r="M274" s="5" t="n"/>
    </row>
    <row r="275">
      <c r="B275" s="5" t="n"/>
      <c r="M275" s="5" t="n"/>
    </row>
    <row r="276">
      <c r="B276" s="5" t="n"/>
      <c r="M276" s="5" t="n"/>
    </row>
    <row r="277">
      <c r="B277" s="5" t="n"/>
      <c r="M277" s="5" t="n"/>
    </row>
    <row r="278">
      <c r="B278" s="5" t="n"/>
      <c r="M278" s="5" t="n"/>
    </row>
    <row r="279">
      <c r="B279" s="5" t="n"/>
      <c r="M279" s="5" t="n"/>
    </row>
    <row r="280">
      <c r="B280" s="5" t="n"/>
      <c r="M280" s="5" t="n"/>
    </row>
    <row r="281">
      <c r="B281" s="5" t="n"/>
      <c r="M281" s="5" t="n"/>
    </row>
    <row r="282">
      <c r="B282" s="5" t="n"/>
      <c r="M282" s="5" t="n"/>
    </row>
    <row r="283">
      <c r="B283" s="5" t="n"/>
      <c r="M283" s="5" t="n"/>
    </row>
    <row r="284">
      <c r="B284" s="5" t="n"/>
      <c r="M284" s="5" t="n"/>
    </row>
    <row r="285">
      <c r="B285" s="5" t="n"/>
      <c r="M285" s="5" t="n"/>
    </row>
    <row r="286">
      <c r="B286" s="5" t="n"/>
      <c r="M286" s="5" t="n"/>
    </row>
    <row r="287">
      <c r="B287" s="5" t="n"/>
      <c r="M287" s="5" t="n"/>
    </row>
    <row r="288">
      <c r="B288" s="5" t="n"/>
      <c r="M288" s="5" t="n"/>
    </row>
    <row r="289">
      <c r="B289" s="5" t="n"/>
      <c r="M289" s="5" t="n"/>
    </row>
    <row r="290">
      <c r="B290" s="5" t="n"/>
      <c r="M290" s="5" t="n"/>
    </row>
    <row r="291">
      <c r="B291" s="5" t="n"/>
      <c r="M291" s="5" t="n"/>
    </row>
    <row r="292">
      <c r="B292" s="5" t="n"/>
      <c r="M292" s="5" t="n"/>
    </row>
    <row r="293">
      <c r="B293" s="5" t="n"/>
      <c r="M293" s="5" t="n"/>
    </row>
    <row r="294">
      <c r="B294" s="5" t="n"/>
      <c r="M294" s="5" t="n"/>
    </row>
    <row r="295">
      <c r="B295" s="5" t="n"/>
      <c r="M295" s="5" t="n"/>
    </row>
    <row r="296">
      <c r="B296" s="5" t="n"/>
      <c r="M296" s="5" t="n"/>
    </row>
    <row r="297">
      <c r="B297" s="5" t="n"/>
      <c r="M297" s="5" t="n"/>
    </row>
    <row r="298">
      <c r="B298" s="5" t="n"/>
      <c r="M298" s="5" t="n"/>
    </row>
    <row r="299">
      <c r="B299" s="5" t="n"/>
      <c r="M299" s="5" t="n"/>
    </row>
    <row r="300">
      <c r="B300" s="5" t="n"/>
      <c r="M300" s="5" t="n"/>
    </row>
    <row r="301">
      <c r="B301" s="5" t="n"/>
      <c r="M301" s="5" t="n"/>
    </row>
    <row r="302">
      <c r="B302" s="5" t="n"/>
      <c r="M302" s="5" t="n"/>
    </row>
    <row r="303">
      <c r="B303" s="5" t="n"/>
      <c r="M303" s="5" t="n"/>
    </row>
    <row r="304">
      <c r="B304" s="5" t="n"/>
      <c r="M304" s="5" t="n"/>
    </row>
    <row r="305">
      <c r="B305" s="5" t="n"/>
      <c r="M305" s="5" t="n"/>
    </row>
    <row r="306">
      <c r="B306" s="5" t="n"/>
      <c r="M306" s="5" t="n"/>
    </row>
    <row r="307">
      <c r="B307" s="5" t="n"/>
      <c r="M307" s="5" t="n"/>
    </row>
    <row r="308">
      <c r="B308" s="5" t="n"/>
      <c r="M308" s="5" t="n"/>
    </row>
    <row r="309">
      <c r="B309" s="5" t="n"/>
      <c r="M309" s="5" t="n"/>
    </row>
    <row r="310">
      <c r="B310" s="5" t="n"/>
      <c r="M310" s="5" t="n"/>
    </row>
    <row r="311">
      <c r="B311" s="5" t="n"/>
      <c r="M311" s="5" t="n"/>
    </row>
    <row r="312">
      <c r="B312" s="5" t="n"/>
      <c r="M312" s="5" t="n"/>
    </row>
    <row r="313">
      <c r="B313" s="5" t="n"/>
      <c r="M313" s="5" t="n"/>
    </row>
    <row r="314">
      <c r="B314" s="5" t="n"/>
      <c r="M314" s="5" t="n"/>
    </row>
    <row r="315">
      <c r="B315" s="5" t="n"/>
      <c r="M315" s="5" t="n"/>
    </row>
    <row r="316">
      <c r="B316" s="5" t="n"/>
      <c r="M316" s="5" t="n"/>
    </row>
    <row r="317">
      <c r="B317" s="5" t="n"/>
      <c r="M317" s="5" t="n"/>
    </row>
    <row r="318">
      <c r="B318" s="5" t="n"/>
      <c r="M318" s="5" t="n"/>
    </row>
    <row r="319">
      <c r="B319" s="5" t="n"/>
      <c r="M319" s="5" t="n"/>
    </row>
    <row r="320">
      <c r="B320" s="5" t="n"/>
      <c r="M320" s="5" t="n"/>
    </row>
    <row r="321">
      <c r="B321" s="5" t="n"/>
      <c r="M321" s="5" t="n"/>
    </row>
    <row r="322">
      <c r="B322" s="5" t="n"/>
      <c r="M322" s="5" t="n"/>
    </row>
    <row r="323">
      <c r="B323" s="5" t="n"/>
      <c r="M323" s="5" t="n"/>
    </row>
    <row r="324">
      <c r="B324" s="5" t="n"/>
      <c r="M324" s="5" t="n"/>
    </row>
    <row r="325">
      <c r="B325" s="5" t="n"/>
      <c r="M325" s="5" t="n"/>
    </row>
    <row r="326">
      <c r="B326" s="5" t="n"/>
      <c r="M326" s="5" t="n"/>
    </row>
    <row r="327">
      <c r="B327" s="5" t="n"/>
      <c r="M327" s="5" t="n"/>
    </row>
    <row r="328">
      <c r="B328" s="5" t="n"/>
      <c r="M328" s="5" t="n"/>
    </row>
    <row r="329">
      <c r="B329" s="5" t="n"/>
      <c r="M329" s="5" t="n"/>
    </row>
    <row r="330">
      <c r="B330" s="5" t="n"/>
      <c r="M330" s="5" t="n"/>
    </row>
    <row r="331">
      <c r="B331" s="5" t="n"/>
      <c r="M331" s="5" t="n"/>
    </row>
    <row r="332">
      <c r="B332" s="5" t="n"/>
      <c r="M332" s="5" t="n"/>
    </row>
    <row r="333">
      <c r="B333" s="5" t="n"/>
      <c r="M333" s="5" t="n"/>
    </row>
    <row r="334">
      <c r="B334" s="5" t="n"/>
      <c r="M334" s="5" t="n"/>
    </row>
    <row r="335">
      <c r="B335" s="5" t="n"/>
      <c r="M335" s="5" t="n"/>
    </row>
    <row r="336">
      <c r="B336" s="5" t="n"/>
      <c r="M336" s="5" t="n"/>
    </row>
    <row r="337">
      <c r="B337" s="5" t="n"/>
      <c r="M337" s="5" t="n"/>
    </row>
    <row r="338">
      <c r="B338" s="5" t="n"/>
      <c r="M338" s="5" t="n"/>
    </row>
    <row r="339">
      <c r="B339" s="5" t="n"/>
      <c r="M339" s="5" t="n"/>
    </row>
    <row r="340">
      <c r="B340" s="5" t="n"/>
      <c r="M340" s="5" t="n"/>
    </row>
    <row r="341">
      <c r="B341" s="5" t="n"/>
      <c r="M341" s="5" t="n"/>
    </row>
    <row r="342">
      <c r="B342" s="5" t="n"/>
      <c r="M342" s="5" t="n"/>
    </row>
    <row r="343">
      <c r="B343" s="5" t="n"/>
      <c r="M343" s="5" t="n"/>
    </row>
    <row r="344">
      <c r="B344" s="5" t="n"/>
      <c r="M344" s="5" t="n"/>
    </row>
    <row r="345">
      <c r="B345" s="5" t="n"/>
      <c r="M345" s="5" t="n"/>
    </row>
    <row r="346">
      <c r="B346" s="5" t="n"/>
      <c r="M346" s="5" t="n"/>
    </row>
    <row r="347">
      <c r="B347" s="5" t="n"/>
      <c r="M347" s="5" t="n"/>
    </row>
    <row r="348">
      <c r="B348" s="5" t="n"/>
      <c r="M348" s="5" t="n"/>
    </row>
    <row r="349">
      <c r="B349" s="5" t="n"/>
      <c r="M349" s="5" t="n"/>
    </row>
    <row r="350">
      <c r="B350" s="5" t="n"/>
      <c r="M350" s="5" t="n"/>
    </row>
    <row r="351">
      <c r="B351" s="5" t="n"/>
      <c r="M351" s="5" t="n"/>
    </row>
    <row r="352">
      <c r="B352" s="5" t="n"/>
      <c r="M352" s="5" t="n"/>
    </row>
    <row r="353">
      <c r="B353" s="5" t="n"/>
      <c r="M353" s="5" t="n"/>
    </row>
    <row r="354">
      <c r="B354" s="5" t="n"/>
      <c r="M354" s="5" t="n"/>
    </row>
    <row r="355">
      <c r="B355" s="5" t="n"/>
      <c r="M355" s="5" t="n"/>
    </row>
    <row r="356">
      <c r="B356" s="5" t="n"/>
      <c r="M356" s="5" t="n"/>
    </row>
    <row r="357">
      <c r="B357" s="5" t="n"/>
      <c r="M357" s="5" t="n"/>
    </row>
    <row r="358">
      <c r="B358" s="5" t="n"/>
      <c r="M358" s="5" t="n"/>
    </row>
    <row r="359">
      <c r="B359" s="5" t="n"/>
      <c r="M359" s="5" t="n"/>
    </row>
    <row r="360">
      <c r="B360" s="5" t="n"/>
      <c r="M360" s="5" t="n"/>
    </row>
    <row r="361">
      <c r="B361" s="5" t="n"/>
      <c r="M361" s="5" t="n"/>
    </row>
    <row r="362">
      <c r="B362" s="5" t="n"/>
      <c r="M362" s="5" t="n"/>
    </row>
    <row r="363">
      <c r="B363" s="5" t="n"/>
      <c r="M363" s="5" t="n"/>
    </row>
    <row r="364">
      <c r="B364" s="5" t="n"/>
      <c r="M364" s="5" t="n"/>
    </row>
    <row r="365">
      <c r="B365" s="5" t="n"/>
      <c r="M365" s="5" t="n"/>
    </row>
    <row r="366">
      <c r="B366" s="5" t="n"/>
      <c r="M366" s="5" t="n"/>
    </row>
    <row r="367">
      <c r="B367" s="5" t="n"/>
      <c r="M367" s="5" t="n"/>
    </row>
    <row r="368">
      <c r="B368" s="5" t="n"/>
      <c r="M368" s="5" t="n"/>
    </row>
    <row r="369">
      <c r="B369" s="5" t="n"/>
      <c r="M369" s="5" t="n"/>
    </row>
    <row r="370">
      <c r="B370" s="5" t="n"/>
      <c r="M370" s="5" t="n"/>
    </row>
    <row r="371">
      <c r="B371" s="5" t="n"/>
      <c r="M371" s="5" t="n"/>
    </row>
    <row r="372">
      <c r="B372" s="5" t="n"/>
      <c r="M372" s="5" t="n"/>
    </row>
    <row r="373">
      <c r="B373" s="5" t="n"/>
      <c r="M373" s="5" t="n"/>
    </row>
    <row r="374">
      <c r="B374" s="5" t="n"/>
      <c r="M374" s="5" t="n"/>
    </row>
    <row r="375">
      <c r="B375" s="5" t="n"/>
      <c r="M375" s="5" t="n"/>
    </row>
    <row r="376">
      <c r="B376" s="5" t="n"/>
      <c r="M376" s="5" t="n"/>
    </row>
    <row r="377">
      <c r="B377" s="5" t="n"/>
      <c r="M377" s="5" t="n"/>
    </row>
    <row r="378">
      <c r="B378" s="5" t="n"/>
      <c r="M378" s="5" t="n"/>
    </row>
    <row r="379">
      <c r="B379" s="5" t="n"/>
      <c r="M379" s="5" t="n"/>
    </row>
    <row r="380">
      <c r="B380" s="5" t="n"/>
      <c r="M380" s="5" t="n"/>
    </row>
    <row r="381">
      <c r="B381" s="5" t="n"/>
      <c r="M381" s="5" t="n"/>
    </row>
    <row r="382">
      <c r="B382" s="5" t="n"/>
      <c r="M382" s="5" t="n"/>
    </row>
    <row r="383">
      <c r="B383" s="5" t="n"/>
      <c r="M383" s="5" t="n"/>
    </row>
    <row r="384">
      <c r="B384" s="5" t="n"/>
      <c r="M384" s="5" t="n"/>
    </row>
    <row r="385">
      <c r="B385" s="5" t="n"/>
      <c r="M385" s="5" t="n"/>
    </row>
    <row r="386">
      <c r="B386" s="5" t="n"/>
      <c r="M386" s="5" t="n"/>
    </row>
    <row r="387">
      <c r="B387" s="5" t="n"/>
      <c r="M387" s="5" t="n"/>
    </row>
    <row r="388">
      <c r="B388" s="5" t="n"/>
      <c r="M388" s="5" t="n"/>
    </row>
    <row r="389">
      <c r="B389" s="5" t="n"/>
      <c r="M389" s="5" t="n"/>
    </row>
    <row r="390">
      <c r="B390" s="5" t="n"/>
      <c r="M390" s="5" t="n"/>
    </row>
    <row r="391">
      <c r="B391" s="5" t="n"/>
      <c r="M391" s="5" t="n"/>
    </row>
    <row r="392">
      <c r="B392" s="5" t="n"/>
      <c r="M392" s="5" t="n"/>
    </row>
    <row r="393">
      <c r="B393" s="5" t="n"/>
      <c r="M393" s="5" t="n"/>
    </row>
    <row r="394">
      <c r="B394" s="5" t="n"/>
      <c r="M394" s="5" t="n"/>
    </row>
    <row r="395">
      <c r="B395" s="5" t="n"/>
      <c r="M395" s="5" t="n"/>
    </row>
    <row r="396">
      <c r="B396" s="5" t="n"/>
      <c r="M396" s="5" t="n"/>
    </row>
    <row r="397">
      <c r="B397" s="5" t="n"/>
      <c r="M397" s="5" t="n"/>
    </row>
    <row r="398">
      <c r="B398" s="5" t="n"/>
      <c r="M398" s="5" t="n"/>
    </row>
    <row r="399">
      <c r="B399" s="5" t="n"/>
      <c r="M399" s="5" t="n"/>
    </row>
    <row r="400">
      <c r="B400" s="5" t="n"/>
      <c r="M400" s="5" t="n"/>
    </row>
    <row r="401">
      <c r="B401" s="5" t="n"/>
      <c r="M401" s="5" t="n"/>
    </row>
    <row r="402">
      <c r="B402" s="5" t="n"/>
      <c r="M402" s="5" t="n"/>
    </row>
    <row r="403">
      <c r="B403" s="5" t="n"/>
      <c r="M403" s="5" t="n"/>
    </row>
    <row r="404">
      <c r="B404" s="5" t="n"/>
      <c r="M404" s="5" t="n"/>
    </row>
    <row r="405">
      <c r="B405" s="5" t="n"/>
      <c r="M405" s="5" t="n"/>
    </row>
    <row r="406">
      <c r="B406" s="5" t="n"/>
      <c r="M406" s="5" t="n"/>
    </row>
    <row r="407">
      <c r="B407" s="5" t="n"/>
      <c r="M407" s="5" t="n"/>
    </row>
    <row r="408">
      <c r="B408" s="5" t="n"/>
      <c r="M408" s="5" t="n"/>
    </row>
    <row r="409">
      <c r="B409" s="5" t="n"/>
      <c r="M409" s="5" t="n"/>
    </row>
    <row r="410">
      <c r="B410" s="5" t="n"/>
      <c r="M410" s="5" t="n"/>
    </row>
    <row r="411">
      <c r="B411" s="5" t="n"/>
      <c r="M411" s="5" t="n"/>
    </row>
    <row r="412">
      <c r="B412" s="5" t="n"/>
      <c r="M412" s="5" t="n"/>
    </row>
    <row r="413">
      <c r="B413" s="5" t="n"/>
      <c r="M413" s="5" t="n"/>
    </row>
    <row r="414">
      <c r="B414" s="5" t="n"/>
      <c r="M414" s="5" t="n"/>
    </row>
    <row r="415">
      <c r="B415" s="5" t="n"/>
      <c r="M415" s="5" t="n"/>
    </row>
    <row r="416">
      <c r="B416" s="5" t="n"/>
      <c r="M416" s="5" t="n"/>
    </row>
    <row r="417">
      <c r="B417" s="5" t="n"/>
      <c r="M417" s="5" t="n"/>
    </row>
    <row r="418">
      <c r="B418" s="5" t="n"/>
      <c r="M418" s="5" t="n"/>
    </row>
    <row r="419">
      <c r="B419" s="5" t="n"/>
      <c r="M419" s="5" t="n"/>
    </row>
    <row r="420">
      <c r="B420" s="5" t="n"/>
      <c r="M420" s="5" t="n"/>
    </row>
    <row r="421">
      <c r="B421" s="5" t="n"/>
      <c r="M421" s="5" t="n"/>
    </row>
    <row r="422">
      <c r="B422" s="5" t="n"/>
      <c r="M422" s="5" t="n"/>
    </row>
    <row r="423">
      <c r="B423" s="5" t="n"/>
      <c r="M423" s="5" t="n"/>
    </row>
    <row r="424">
      <c r="B424" s="5" t="n"/>
      <c r="M424" s="5" t="n"/>
    </row>
    <row r="425">
      <c r="B425" s="5" t="n"/>
      <c r="M425" s="5" t="n"/>
    </row>
    <row r="426">
      <c r="B426" s="5" t="n"/>
      <c r="M426" s="5" t="n"/>
    </row>
    <row r="427">
      <c r="B427" s="5" t="n"/>
      <c r="M427" s="5" t="n"/>
    </row>
    <row r="428">
      <c r="B428" s="5" t="n"/>
      <c r="M428" s="5" t="n"/>
    </row>
    <row r="429">
      <c r="B429" s="5" t="n"/>
      <c r="M429" s="5" t="n"/>
    </row>
    <row r="430">
      <c r="B430" s="5" t="n"/>
      <c r="M430" s="5" t="n"/>
    </row>
    <row r="431">
      <c r="B431" s="5" t="n"/>
      <c r="M431" s="5" t="n"/>
    </row>
    <row r="432">
      <c r="B432" s="5" t="n"/>
      <c r="M432" s="5" t="n"/>
    </row>
    <row r="433">
      <c r="B433" s="5" t="n"/>
      <c r="M433" s="5" t="n"/>
    </row>
    <row r="434">
      <c r="B434" s="5" t="n"/>
      <c r="M434" s="5" t="n"/>
    </row>
    <row r="435">
      <c r="B435" s="5" t="n"/>
      <c r="M435" s="5" t="n"/>
    </row>
    <row r="436">
      <c r="B436" s="5" t="n"/>
      <c r="M436" s="5" t="n"/>
    </row>
    <row r="437">
      <c r="B437" s="5" t="n"/>
      <c r="M437" s="5" t="n"/>
    </row>
    <row r="438">
      <c r="B438" s="5" t="n"/>
      <c r="M438" s="5" t="n"/>
    </row>
    <row r="439">
      <c r="B439" s="5" t="n"/>
      <c r="M439" s="5" t="n"/>
    </row>
    <row r="440">
      <c r="B440" s="5" t="n"/>
      <c r="M440" s="5" t="n"/>
    </row>
    <row r="441">
      <c r="B441" s="5" t="n"/>
      <c r="M441" s="5" t="n"/>
    </row>
    <row r="442">
      <c r="B442" s="5" t="n"/>
      <c r="M442" s="5" t="n"/>
    </row>
    <row r="443">
      <c r="B443" s="5" t="n"/>
      <c r="M443" s="5" t="n"/>
    </row>
    <row r="444">
      <c r="B444" s="5" t="n"/>
      <c r="M444" s="5" t="n"/>
    </row>
    <row r="445">
      <c r="B445" s="5" t="n"/>
      <c r="M445" s="5" t="n"/>
    </row>
    <row r="446">
      <c r="B446" s="5" t="n"/>
      <c r="M446" s="5" t="n"/>
    </row>
    <row r="447">
      <c r="B447" s="5" t="n"/>
      <c r="M447" s="5" t="n"/>
    </row>
    <row r="448">
      <c r="B448" s="5" t="n"/>
      <c r="M448" s="5" t="n"/>
    </row>
    <row r="449">
      <c r="B449" s="5" t="n"/>
      <c r="M449" s="5" t="n"/>
    </row>
    <row r="450">
      <c r="B450" s="5" t="n"/>
      <c r="M450" s="5" t="n"/>
    </row>
    <row r="451">
      <c r="B451" s="5" t="n"/>
      <c r="M451" s="5" t="n"/>
    </row>
    <row r="452">
      <c r="B452" s="5" t="n"/>
      <c r="M452" s="5" t="n"/>
    </row>
    <row r="453">
      <c r="B453" s="5" t="n"/>
      <c r="M453" s="5" t="n"/>
    </row>
    <row r="454">
      <c r="B454" s="5" t="n"/>
      <c r="M454" s="5" t="n"/>
    </row>
    <row r="455">
      <c r="B455" s="5" t="n"/>
      <c r="M455" s="5" t="n"/>
    </row>
    <row r="456">
      <c r="B456" s="5" t="n"/>
      <c r="M456" s="5" t="n"/>
    </row>
    <row r="457">
      <c r="B457" s="5" t="n"/>
      <c r="M457" s="5" t="n"/>
    </row>
    <row r="458">
      <c r="B458" s="5" t="n"/>
      <c r="M458" s="5" t="n"/>
    </row>
    <row r="459">
      <c r="B459" s="5" t="n"/>
      <c r="M459" s="5" t="n"/>
    </row>
    <row r="460">
      <c r="B460" s="5" t="n"/>
      <c r="M460" s="5" t="n"/>
    </row>
    <row r="461">
      <c r="B461" s="5" t="n"/>
      <c r="M461" s="5" t="n"/>
    </row>
    <row r="462">
      <c r="B462" s="5" t="n"/>
      <c r="M462" s="5" t="n"/>
    </row>
    <row r="463">
      <c r="B463" s="5" t="n"/>
      <c r="M463" s="5" t="n"/>
    </row>
    <row r="464">
      <c r="B464" s="5" t="n"/>
      <c r="M464" s="5" t="n"/>
    </row>
    <row r="465">
      <c r="B465" s="5" t="n"/>
      <c r="M465" s="5" t="n"/>
    </row>
    <row r="466">
      <c r="B466" s="5" t="n"/>
      <c r="M466" s="5" t="n"/>
    </row>
    <row r="467">
      <c r="B467" s="5" t="n"/>
      <c r="M467" s="5" t="n"/>
    </row>
    <row r="468">
      <c r="B468" s="5" t="n"/>
      <c r="M468" s="5" t="n"/>
    </row>
    <row r="469">
      <c r="B469" s="5" t="n"/>
      <c r="M469" s="5" t="n"/>
    </row>
    <row r="470">
      <c r="B470" s="5" t="n"/>
      <c r="M470" s="5" t="n"/>
    </row>
    <row r="471">
      <c r="B471" s="5" t="n"/>
      <c r="M471" s="5" t="n"/>
    </row>
    <row r="472">
      <c r="B472" s="5" t="n"/>
      <c r="M472" s="5" t="n"/>
    </row>
    <row r="473">
      <c r="B473" s="5" t="n"/>
      <c r="M473" s="5" t="n"/>
    </row>
    <row r="474">
      <c r="B474" s="5" t="n"/>
      <c r="M474" s="5" t="n"/>
    </row>
    <row r="475">
      <c r="B475" s="5" t="n"/>
      <c r="M475" s="5" t="n"/>
    </row>
    <row r="476">
      <c r="B476" s="5" t="n"/>
      <c r="M476" s="5" t="n"/>
    </row>
    <row r="477">
      <c r="B477" s="5" t="n"/>
      <c r="M477" s="5" t="n"/>
    </row>
    <row r="478">
      <c r="B478" s="5" t="n"/>
      <c r="M478" s="5" t="n"/>
    </row>
    <row r="479">
      <c r="B479" s="5" t="n"/>
      <c r="M479" s="5" t="n"/>
    </row>
    <row r="480">
      <c r="B480" s="5" t="n"/>
      <c r="M480" s="5" t="n"/>
    </row>
    <row r="481">
      <c r="B481" s="5" t="n"/>
      <c r="M481" s="5" t="n"/>
    </row>
    <row r="482">
      <c r="B482" s="5" t="n"/>
      <c r="M482" s="5" t="n"/>
    </row>
    <row r="483">
      <c r="B483" s="5" t="n"/>
      <c r="M483" s="5" t="n"/>
    </row>
    <row r="484">
      <c r="B484" s="5" t="n"/>
      <c r="M484" s="5" t="n"/>
    </row>
    <row r="485">
      <c r="B485" s="5" t="n"/>
      <c r="M485" s="5" t="n"/>
    </row>
    <row r="486">
      <c r="B486" s="5" t="n"/>
      <c r="M486" s="5" t="n"/>
    </row>
    <row r="487">
      <c r="B487" s="5" t="n"/>
      <c r="M487" s="5" t="n"/>
    </row>
    <row r="488">
      <c r="B488" s="5" t="n"/>
      <c r="M488" s="5" t="n"/>
    </row>
    <row r="489">
      <c r="B489" s="5" t="n"/>
      <c r="M489" s="5" t="n"/>
    </row>
    <row r="490">
      <c r="B490" s="5" t="n"/>
      <c r="M490" s="5" t="n"/>
    </row>
    <row r="491">
      <c r="B491" s="5" t="n"/>
      <c r="M491" s="5" t="n"/>
    </row>
    <row r="492">
      <c r="B492" s="5" t="n"/>
      <c r="M492" s="5" t="n"/>
    </row>
    <row r="493">
      <c r="B493" s="5" t="n"/>
      <c r="M493" s="5" t="n"/>
    </row>
    <row r="494">
      <c r="B494" s="5" t="n"/>
      <c r="M494" s="5" t="n"/>
    </row>
    <row r="495">
      <c r="B495" s="5" t="n"/>
      <c r="M495" s="5" t="n"/>
    </row>
    <row r="496">
      <c r="B496" s="5" t="n"/>
      <c r="M496" s="5" t="n"/>
    </row>
    <row r="497">
      <c r="B497" s="5" t="n"/>
      <c r="M497" s="5" t="n"/>
    </row>
    <row r="498">
      <c r="B498" s="5" t="n"/>
      <c r="M498" s="5" t="n"/>
    </row>
    <row r="499">
      <c r="B499" s="5" t="n"/>
      <c r="M499" s="5" t="n"/>
    </row>
    <row r="500">
      <c r="B500" s="5" t="n"/>
      <c r="M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21" customWidth="1" min="4" max="4"/>
    <col width="10" customWidth="1" min="5" max="5"/>
  </cols>
  <sheetData>
    <row r="1" ht="22" customHeight="1">
      <c r="A1" s="4" t="inlineStr">
        <is>
          <t>HouseholdID</t>
        </is>
      </c>
      <c r="B1" s="4" t="inlineStr">
        <is>
          <t>HouseholdName</t>
        </is>
      </c>
      <c r="C1" s="4" t="inlineStr">
        <is>
          <t>CountryOfResidence</t>
        </is>
      </c>
      <c r="D1" s="4" t="inlineStr">
        <is>
          <t>TaxResidencySummary</t>
        </is>
      </c>
      <c r="E1" s="4" t="inlineStr">
        <is>
          <t>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8" customWidth="1" min="8" max="8"/>
    <col width="10" customWidth="1" min="9" max="9"/>
    <col width="15" customWidth="1" min="10" max="10"/>
    <col width="17" customWidth="1" min="11" max="11"/>
    <col width="18" customWidth="1" min="12" max="12"/>
    <col width="14" customWidth="1" min="13" max="13"/>
    <col width="11" customWidth="1" min="14" max="14"/>
    <col width="19" customWidth="1" min="15" max="15"/>
    <col width="17" customWidth="1" min="16" max="16"/>
    <col width="10" customWidth="1" min="17" max="17"/>
    <col width="14" customWidth="1" min="18" max="18"/>
    <col width="10" customWidth="1" min="19" max="19"/>
    <col width="24" customWidth="1" min="20" max="20"/>
    <col width="19" customWidth="1" min="21" max="21"/>
    <col width="26" customWidth="1" min="22" max="22"/>
    <col width="20" customWidth="1" min="23" max="23"/>
    <col width="10" customWidth="1" min="24" max="24"/>
  </cols>
  <sheetData>
    <row r="1" ht="22" customHeight="1">
      <c r="A1" s="4" t="inlineStr">
        <is>
          <t>ClientID</t>
        </is>
      </c>
      <c r="B1" s="4" t="inlineStr">
        <is>
          <t>HouseholdID</t>
        </is>
      </c>
      <c r="C1" s="4" t="inlineStr">
        <is>
          <t>Title</t>
        </is>
      </c>
      <c r="D1" s="4" t="inlineStr">
        <is>
          <t>FirstName</t>
        </is>
      </c>
      <c r="E1" s="4" t="inlineStr">
        <is>
          <t>LastName</t>
        </is>
      </c>
      <c r="F1" s="4" t="inlineStr">
        <is>
          <t>DOB</t>
        </is>
      </c>
      <c r="G1" s="4" t="inlineStr">
        <is>
          <t>Nationality</t>
        </is>
      </c>
      <c r="H1" s="4" t="inlineStr">
        <is>
          <t>ResidencyCountry</t>
        </is>
      </c>
      <c r="I1" s="4" t="inlineStr">
        <is>
          <t>Domicile</t>
        </is>
      </c>
      <c r="J1" s="4" t="inlineStr">
        <is>
          <t>MaritalStatus</t>
        </is>
      </c>
      <c r="K1" s="4" t="inlineStr">
        <is>
          <t>DependantsCount</t>
        </is>
      </c>
      <c r="L1" s="4" t="inlineStr">
        <is>
          <t>EmploymentStatus</t>
        </is>
      </c>
      <c r="M1" s="4" t="inlineStr">
        <is>
          <t>EmployerName</t>
        </is>
      </c>
      <c r="N1" s="4" t="inlineStr">
        <is>
          <t>RoleTitle</t>
        </is>
      </c>
      <c r="O1" s="4" t="inlineStr">
        <is>
          <t>IncomeGrossAnnual</t>
        </is>
      </c>
      <c r="P1" s="4" t="inlineStr">
        <is>
          <t>IncomeNetAnnual</t>
        </is>
      </c>
      <c r="Q1" s="4" t="inlineStr">
        <is>
          <t>Currency</t>
        </is>
      </c>
      <c r="R1" s="4" t="inlineStr">
        <is>
          <t>ContactEmail</t>
        </is>
      </c>
      <c r="S1" s="4" t="inlineStr">
        <is>
          <t>Phone</t>
        </is>
      </c>
      <c r="T1" s="4" t="inlineStr">
        <is>
          <t>PreferredContactMethod</t>
        </is>
      </c>
      <c r="U1" s="4" t="inlineStr">
        <is>
          <t>RiskProfileStated</t>
        </is>
      </c>
      <c r="V1" s="4" t="inlineStr">
        <is>
          <t>CapacityForLossIndicator</t>
        </is>
      </c>
      <c r="W1" s="4" t="inlineStr">
        <is>
          <t>ConfirmationStatus</t>
        </is>
      </c>
      <c r="X1" s="4" t="inlineStr">
        <is>
          <t>Notes</t>
        </is>
      </c>
    </row>
    <row r="2">
      <c r="F2" s="5" t="n"/>
      <c r="O2" s="6" t="n"/>
      <c r="P2" s="6" t="n"/>
    </row>
    <row r="3">
      <c r="F3" s="5" t="n"/>
      <c r="O3" s="6" t="n"/>
      <c r="P3" s="6" t="n"/>
    </row>
    <row r="4">
      <c r="F4" s="5" t="n"/>
      <c r="O4" s="6" t="n"/>
      <c r="P4" s="6" t="n"/>
    </row>
    <row r="5">
      <c r="F5" s="5" t="n"/>
      <c r="O5" s="6" t="n"/>
      <c r="P5" s="6" t="n"/>
    </row>
    <row r="6">
      <c r="F6" s="5" t="n"/>
      <c r="O6" s="6" t="n"/>
      <c r="P6" s="6" t="n"/>
    </row>
    <row r="7">
      <c r="F7" s="5" t="n"/>
      <c r="O7" s="6" t="n"/>
      <c r="P7" s="6" t="n"/>
    </row>
    <row r="8">
      <c r="F8" s="5" t="n"/>
      <c r="O8" s="6" t="n"/>
      <c r="P8" s="6" t="n"/>
    </row>
    <row r="9">
      <c r="F9" s="5" t="n"/>
      <c r="O9" s="6" t="n"/>
      <c r="P9" s="6" t="n"/>
    </row>
    <row r="10">
      <c r="F10" s="5" t="n"/>
      <c r="O10" s="6" t="n"/>
      <c r="P10" s="6" t="n"/>
    </row>
    <row r="11">
      <c r="F11" s="5" t="n"/>
      <c r="O11" s="6" t="n"/>
      <c r="P11" s="6" t="n"/>
    </row>
    <row r="12">
      <c r="F12" s="5" t="n"/>
      <c r="O12" s="6" t="n"/>
      <c r="P12" s="6" t="n"/>
    </row>
    <row r="13">
      <c r="F13" s="5" t="n"/>
      <c r="O13" s="6" t="n"/>
      <c r="P13" s="6" t="n"/>
    </row>
    <row r="14">
      <c r="F14" s="5" t="n"/>
      <c r="O14" s="6" t="n"/>
      <c r="P14" s="6" t="n"/>
    </row>
    <row r="15">
      <c r="F15" s="5" t="n"/>
      <c r="O15" s="6" t="n"/>
      <c r="P15" s="6" t="n"/>
    </row>
    <row r="16">
      <c r="F16" s="5" t="n"/>
      <c r="O16" s="6" t="n"/>
      <c r="P16" s="6" t="n"/>
    </row>
    <row r="17">
      <c r="F17" s="5" t="n"/>
      <c r="O17" s="6" t="n"/>
      <c r="P17" s="6" t="n"/>
    </row>
    <row r="18">
      <c r="F18" s="5" t="n"/>
      <c r="O18" s="6" t="n"/>
      <c r="P18" s="6" t="n"/>
    </row>
    <row r="19">
      <c r="F19" s="5" t="n"/>
      <c r="O19" s="6" t="n"/>
      <c r="P19" s="6" t="n"/>
    </row>
    <row r="20">
      <c r="F20" s="5" t="n"/>
      <c r="O20" s="6" t="n"/>
      <c r="P20" s="6" t="n"/>
    </row>
    <row r="21">
      <c r="F21" s="5" t="n"/>
      <c r="O21" s="6" t="n"/>
      <c r="P21" s="6" t="n"/>
    </row>
    <row r="22">
      <c r="F22" s="5" t="n"/>
      <c r="O22" s="6" t="n"/>
      <c r="P22" s="6" t="n"/>
    </row>
    <row r="23">
      <c r="F23" s="5" t="n"/>
      <c r="O23" s="6" t="n"/>
      <c r="P23" s="6" t="n"/>
    </row>
    <row r="24">
      <c r="F24" s="5" t="n"/>
      <c r="O24" s="6" t="n"/>
      <c r="P24" s="6" t="n"/>
    </row>
    <row r="25">
      <c r="F25" s="5" t="n"/>
      <c r="O25" s="6" t="n"/>
      <c r="P25" s="6" t="n"/>
    </row>
    <row r="26">
      <c r="F26" s="5" t="n"/>
      <c r="O26" s="6" t="n"/>
      <c r="P26" s="6" t="n"/>
    </row>
    <row r="27">
      <c r="F27" s="5" t="n"/>
      <c r="O27" s="6" t="n"/>
      <c r="P27" s="6" t="n"/>
    </row>
    <row r="28">
      <c r="F28" s="5" t="n"/>
      <c r="O28" s="6" t="n"/>
      <c r="P28" s="6" t="n"/>
    </row>
    <row r="29">
      <c r="F29" s="5" t="n"/>
      <c r="O29" s="6" t="n"/>
      <c r="P29" s="6" t="n"/>
    </row>
    <row r="30">
      <c r="F30" s="5" t="n"/>
      <c r="O30" s="6" t="n"/>
      <c r="P30" s="6" t="n"/>
    </row>
    <row r="31">
      <c r="F31" s="5" t="n"/>
      <c r="O31" s="6" t="n"/>
      <c r="P31" s="6" t="n"/>
    </row>
    <row r="32">
      <c r="F32" s="5" t="n"/>
      <c r="O32" s="6" t="n"/>
      <c r="P32" s="6" t="n"/>
    </row>
    <row r="33">
      <c r="F33" s="5" t="n"/>
      <c r="O33" s="6" t="n"/>
      <c r="P33" s="6" t="n"/>
    </row>
    <row r="34">
      <c r="F34" s="5" t="n"/>
      <c r="O34" s="6" t="n"/>
      <c r="P34" s="6" t="n"/>
    </row>
    <row r="35">
      <c r="F35" s="5" t="n"/>
      <c r="O35" s="6" t="n"/>
      <c r="P35" s="6" t="n"/>
    </row>
    <row r="36">
      <c r="F36" s="5" t="n"/>
      <c r="O36" s="6" t="n"/>
      <c r="P36" s="6" t="n"/>
    </row>
    <row r="37">
      <c r="F37" s="5" t="n"/>
      <c r="O37" s="6" t="n"/>
      <c r="P37" s="6" t="n"/>
    </row>
    <row r="38">
      <c r="F38" s="5" t="n"/>
      <c r="O38" s="6" t="n"/>
      <c r="P38" s="6" t="n"/>
    </row>
    <row r="39">
      <c r="F39" s="5" t="n"/>
      <c r="O39" s="6" t="n"/>
      <c r="P39" s="6" t="n"/>
    </row>
    <row r="40">
      <c r="F40" s="5" t="n"/>
      <c r="O40" s="6" t="n"/>
      <c r="P40" s="6" t="n"/>
    </row>
    <row r="41">
      <c r="F41" s="5" t="n"/>
      <c r="O41" s="6" t="n"/>
      <c r="P41" s="6" t="n"/>
    </row>
    <row r="42">
      <c r="F42" s="5" t="n"/>
      <c r="O42" s="6" t="n"/>
      <c r="P42" s="6" t="n"/>
    </row>
    <row r="43">
      <c r="F43" s="5" t="n"/>
      <c r="O43" s="6" t="n"/>
      <c r="P43" s="6" t="n"/>
    </row>
    <row r="44">
      <c r="F44" s="5" t="n"/>
      <c r="O44" s="6" t="n"/>
      <c r="P44" s="6" t="n"/>
    </row>
    <row r="45">
      <c r="F45" s="5" t="n"/>
      <c r="O45" s="6" t="n"/>
      <c r="P45" s="6" t="n"/>
    </row>
    <row r="46">
      <c r="F46" s="5" t="n"/>
      <c r="O46" s="6" t="n"/>
      <c r="P46" s="6" t="n"/>
    </row>
    <row r="47">
      <c r="F47" s="5" t="n"/>
      <c r="O47" s="6" t="n"/>
      <c r="P47" s="6" t="n"/>
    </row>
    <row r="48">
      <c r="F48" s="5" t="n"/>
      <c r="O48" s="6" t="n"/>
      <c r="P48" s="6" t="n"/>
    </row>
    <row r="49">
      <c r="F49" s="5" t="n"/>
      <c r="O49" s="6" t="n"/>
      <c r="P49" s="6" t="n"/>
    </row>
    <row r="50">
      <c r="F50" s="5" t="n"/>
      <c r="O50" s="6" t="n"/>
      <c r="P50" s="6" t="n"/>
    </row>
    <row r="51">
      <c r="F51" s="5" t="n"/>
      <c r="O51" s="6" t="n"/>
      <c r="P51" s="6" t="n"/>
    </row>
    <row r="52">
      <c r="F52" s="5" t="n"/>
      <c r="O52" s="6" t="n"/>
      <c r="P52" s="6" t="n"/>
    </row>
    <row r="53">
      <c r="F53" s="5" t="n"/>
      <c r="O53" s="6" t="n"/>
      <c r="P53" s="6" t="n"/>
    </row>
    <row r="54">
      <c r="F54" s="5" t="n"/>
      <c r="O54" s="6" t="n"/>
      <c r="P54" s="6" t="n"/>
    </row>
    <row r="55">
      <c r="F55" s="5" t="n"/>
      <c r="O55" s="6" t="n"/>
      <c r="P55" s="6" t="n"/>
    </row>
    <row r="56">
      <c r="F56" s="5" t="n"/>
      <c r="O56" s="6" t="n"/>
      <c r="P56" s="6" t="n"/>
    </row>
    <row r="57">
      <c r="F57" s="5" t="n"/>
      <c r="O57" s="6" t="n"/>
      <c r="P57" s="6" t="n"/>
    </row>
    <row r="58">
      <c r="F58" s="5" t="n"/>
      <c r="O58" s="6" t="n"/>
      <c r="P58" s="6" t="n"/>
    </row>
    <row r="59">
      <c r="F59" s="5" t="n"/>
      <c r="O59" s="6" t="n"/>
      <c r="P59" s="6" t="n"/>
    </row>
    <row r="60">
      <c r="F60" s="5" t="n"/>
      <c r="O60" s="6" t="n"/>
      <c r="P60" s="6" t="n"/>
    </row>
    <row r="61">
      <c r="F61" s="5" t="n"/>
      <c r="O61" s="6" t="n"/>
      <c r="P61" s="6" t="n"/>
    </row>
    <row r="62">
      <c r="F62" s="5" t="n"/>
      <c r="O62" s="6" t="n"/>
      <c r="P62" s="6" t="n"/>
    </row>
    <row r="63">
      <c r="F63" s="5" t="n"/>
      <c r="O63" s="6" t="n"/>
      <c r="P63" s="6" t="n"/>
    </row>
    <row r="64">
      <c r="F64" s="5" t="n"/>
      <c r="O64" s="6" t="n"/>
      <c r="P64" s="6" t="n"/>
    </row>
    <row r="65">
      <c r="F65" s="5" t="n"/>
      <c r="O65" s="6" t="n"/>
      <c r="P65" s="6" t="n"/>
    </row>
    <row r="66">
      <c r="F66" s="5" t="n"/>
      <c r="O66" s="6" t="n"/>
      <c r="P66" s="6" t="n"/>
    </row>
    <row r="67">
      <c r="F67" s="5" t="n"/>
      <c r="O67" s="6" t="n"/>
      <c r="P67" s="6" t="n"/>
    </row>
    <row r="68">
      <c r="F68" s="5" t="n"/>
      <c r="O68" s="6" t="n"/>
      <c r="P68" s="6" t="n"/>
    </row>
    <row r="69">
      <c r="F69" s="5" t="n"/>
      <c r="O69" s="6" t="n"/>
      <c r="P69" s="6" t="n"/>
    </row>
    <row r="70">
      <c r="F70" s="5" t="n"/>
      <c r="O70" s="6" t="n"/>
      <c r="P70" s="6" t="n"/>
    </row>
    <row r="71">
      <c r="F71" s="5" t="n"/>
      <c r="O71" s="6" t="n"/>
      <c r="P71" s="6" t="n"/>
    </row>
    <row r="72">
      <c r="F72" s="5" t="n"/>
      <c r="O72" s="6" t="n"/>
      <c r="P72" s="6" t="n"/>
    </row>
    <row r="73">
      <c r="F73" s="5" t="n"/>
      <c r="O73" s="6" t="n"/>
      <c r="P73" s="6" t="n"/>
    </row>
    <row r="74">
      <c r="F74" s="5" t="n"/>
      <c r="O74" s="6" t="n"/>
      <c r="P74" s="6" t="n"/>
    </row>
    <row r="75">
      <c r="F75" s="5" t="n"/>
      <c r="O75" s="6" t="n"/>
      <c r="P75" s="6" t="n"/>
    </row>
    <row r="76">
      <c r="F76" s="5" t="n"/>
      <c r="O76" s="6" t="n"/>
      <c r="P76" s="6" t="n"/>
    </row>
    <row r="77">
      <c r="F77" s="5" t="n"/>
      <c r="O77" s="6" t="n"/>
      <c r="P77" s="6" t="n"/>
    </row>
    <row r="78">
      <c r="F78" s="5" t="n"/>
      <c r="O78" s="6" t="n"/>
      <c r="P78" s="6" t="n"/>
    </row>
    <row r="79">
      <c r="F79" s="5" t="n"/>
      <c r="O79" s="6" t="n"/>
      <c r="P79" s="6" t="n"/>
    </row>
    <row r="80">
      <c r="F80" s="5" t="n"/>
      <c r="O80" s="6" t="n"/>
      <c r="P80" s="6" t="n"/>
    </row>
    <row r="81">
      <c r="F81" s="5" t="n"/>
      <c r="O81" s="6" t="n"/>
      <c r="P81" s="6" t="n"/>
    </row>
    <row r="82">
      <c r="F82" s="5" t="n"/>
      <c r="O82" s="6" t="n"/>
      <c r="P82" s="6" t="n"/>
    </row>
    <row r="83">
      <c r="F83" s="5" t="n"/>
      <c r="O83" s="6" t="n"/>
      <c r="P83" s="6" t="n"/>
    </row>
    <row r="84">
      <c r="F84" s="5" t="n"/>
      <c r="O84" s="6" t="n"/>
      <c r="P84" s="6" t="n"/>
    </row>
    <row r="85">
      <c r="F85" s="5" t="n"/>
      <c r="O85" s="6" t="n"/>
      <c r="P85" s="6" t="n"/>
    </row>
    <row r="86">
      <c r="F86" s="5" t="n"/>
      <c r="O86" s="6" t="n"/>
      <c r="P86" s="6" t="n"/>
    </row>
    <row r="87">
      <c r="F87" s="5" t="n"/>
      <c r="O87" s="6" t="n"/>
      <c r="P87" s="6" t="n"/>
    </row>
    <row r="88">
      <c r="F88" s="5" t="n"/>
      <c r="O88" s="6" t="n"/>
      <c r="P88" s="6" t="n"/>
    </row>
    <row r="89">
      <c r="F89" s="5" t="n"/>
      <c r="O89" s="6" t="n"/>
      <c r="P89" s="6" t="n"/>
    </row>
    <row r="90">
      <c r="F90" s="5" t="n"/>
      <c r="O90" s="6" t="n"/>
      <c r="P90" s="6" t="n"/>
    </row>
    <row r="91">
      <c r="F91" s="5" t="n"/>
      <c r="O91" s="6" t="n"/>
      <c r="P91" s="6" t="n"/>
    </row>
    <row r="92">
      <c r="F92" s="5" t="n"/>
      <c r="O92" s="6" t="n"/>
      <c r="P92" s="6" t="n"/>
    </row>
    <row r="93">
      <c r="F93" s="5" t="n"/>
      <c r="O93" s="6" t="n"/>
      <c r="P93" s="6" t="n"/>
    </row>
    <row r="94">
      <c r="F94" s="5" t="n"/>
      <c r="O94" s="6" t="n"/>
      <c r="P94" s="6" t="n"/>
    </row>
    <row r="95">
      <c r="F95" s="5" t="n"/>
      <c r="O95" s="6" t="n"/>
      <c r="P95" s="6" t="n"/>
    </row>
    <row r="96">
      <c r="F96" s="5" t="n"/>
      <c r="O96" s="6" t="n"/>
      <c r="P96" s="6" t="n"/>
    </row>
    <row r="97">
      <c r="F97" s="5" t="n"/>
      <c r="O97" s="6" t="n"/>
      <c r="P97" s="6" t="n"/>
    </row>
    <row r="98">
      <c r="F98" s="5" t="n"/>
      <c r="O98" s="6" t="n"/>
      <c r="P98" s="6" t="n"/>
    </row>
    <row r="99">
      <c r="F99" s="5" t="n"/>
      <c r="O99" s="6" t="n"/>
      <c r="P99" s="6" t="n"/>
    </row>
    <row r="100">
      <c r="F100" s="5" t="n"/>
      <c r="O100" s="6" t="n"/>
      <c r="P100" s="6" t="n"/>
    </row>
    <row r="101">
      <c r="F101" s="5" t="n"/>
      <c r="O101" s="6" t="n"/>
      <c r="P101" s="6" t="n"/>
    </row>
    <row r="102">
      <c r="F102" s="5" t="n"/>
      <c r="O102" s="6" t="n"/>
      <c r="P102" s="6" t="n"/>
    </row>
    <row r="103">
      <c r="F103" s="5" t="n"/>
      <c r="O103" s="6" t="n"/>
      <c r="P103" s="6" t="n"/>
    </row>
    <row r="104">
      <c r="F104" s="5" t="n"/>
      <c r="O104" s="6" t="n"/>
      <c r="P104" s="6" t="n"/>
    </row>
    <row r="105">
      <c r="F105" s="5" t="n"/>
      <c r="O105" s="6" t="n"/>
      <c r="P105" s="6" t="n"/>
    </row>
    <row r="106">
      <c r="F106" s="5" t="n"/>
      <c r="O106" s="6" t="n"/>
      <c r="P106" s="6" t="n"/>
    </row>
    <row r="107">
      <c r="F107" s="5" t="n"/>
      <c r="O107" s="6" t="n"/>
      <c r="P107" s="6" t="n"/>
    </row>
    <row r="108">
      <c r="F108" s="5" t="n"/>
      <c r="O108" s="6" t="n"/>
      <c r="P108" s="6" t="n"/>
    </row>
    <row r="109">
      <c r="F109" s="5" t="n"/>
      <c r="O109" s="6" t="n"/>
      <c r="P109" s="6" t="n"/>
    </row>
    <row r="110">
      <c r="F110" s="5" t="n"/>
      <c r="O110" s="6" t="n"/>
      <c r="P110" s="6" t="n"/>
    </row>
    <row r="111">
      <c r="F111" s="5" t="n"/>
      <c r="O111" s="6" t="n"/>
      <c r="P111" s="6" t="n"/>
    </row>
    <row r="112">
      <c r="F112" s="5" t="n"/>
      <c r="O112" s="6" t="n"/>
      <c r="P112" s="6" t="n"/>
    </row>
    <row r="113">
      <c r="F113" s="5" t="n"/>
      <c r="O113" s="6" t="n"/>
      <c r="P113" s="6" t="n"/>
    </row>
    <row r="114">
      <c r="F114" s="5" t="n"/>
      <c r="O114" s="6" t="n"/>
      <c r="P114" s="6" t="n"/>
    </row>
    <row r="115">
      <c r="F115" s="5" t="n"/>
      <c r="O115" s="6" t="n"/>
      <c r="P115" s="6" t="n"/>
    </row>
    <row r="116">
      <c r="F116" s="5" t="n"/>
      <c r="O116" s="6" t="n"/>
      <c r="P116" s="6" t="n"/>
    </row>
    <row r="117">
      <c r="F117" s="5" t="n"/>
      <c r="O117" s="6" t="n"/>
      <c r="P117" s="6" t="n"/>
    </row>
    <row r="118">
      <c r="F118" s="5" t="n"/>
      <c r="O118" s="6" t="n"/>
      <c r="P118" s="6" t="n"/>
    </row>
    <row r="119">
      <c r="F119" s="5" t="n"/>
      <c r="O119" s="6" t="n"/>
      <c r="P119" s="6" t="n"/>
    </row>
    <row r="120">
      <c r="F120" s="5" t="n"/>
      <c r="O120" s="6" t="n"/>
      <c r="P120" s="6" t="n"/>
    </row>
    <row r="121">
      <c r="F121" s="5" t="n"/>
      <c r="O121" s="6" t="n"/>
      <c r="P121" s="6" t="n"/>
    </row>
    <row r="122">
      <c r="F122" s="5" t="n"/>
      <c r="O122" s="6" t="n"/>
      <c r="P122" s="6" t="n"/>
    </row>
    <row r="123">
      <c r="F123" s="5" t="n"/>
      <c r="O123" s="6" t="n"/>
      <c r="P123" s="6" t="n"/>
    </row>
    <row r="124">
      <c r="F124" s="5" t="n"/>
      <c r="O124" s="6" t="n"/>
      <c r="P124" s="6" t="n"/>
    </row>
    <row r="125">
      <c r="F125" s="5" t="n"/>
      <c r="O125" s="6" t="n"/>
      <c r="P125" s="6" t="n"/>
    </row>
    <row r="126">
      <c r="F126" s="5" t="n"/>
      <c r="O126" s="6" t="n"/>
      <c r="P126" s="6" t="n"/>
    </row>
    <row r="127">
      <c r="F127" s="5" t="n"/>
      <c r="O127" s="6" t="n"/>
      <c r="P127" s="6" t="n"/>
    </row>
    <row r="128">
      <c r="F128" s="5" t="n"/>
      <c r="O128" s="6" t="n"/>
      <c r="P128" s="6" t="n"/>
    </row>
    <row r="129">
      <c r="F129" s="5" t="n"/>
      <c r="O129" s="6" t="n"/>
      <c r="P129" s="6" t="n"/>
    </row>
    <row r="130">
      <c r="F130" s="5" t="n"/>
      <c r="O130" s="6" t="n"/>
      <c r="P130" s="6" t="n"/>
    </row>
    <row r="131">
      <c r="F131" s="5" t="n"/>
      <c r="O131" s="6" t="n"/>
      <c r="P131" s="6" t="n"/>
    </row>
    <row r="132">
      <c r="F132" s="5" t="n"/>
      <c r="O132" s="6" t="n"/>
      <c r="P132" s="6" t="n"/>
    </row>
    <row r="133">
      <c r="F133" s="5" t="n"/>
      <c r="O133" s="6" t="n"/>
      <c r="P133" s="6" t="n"/>
    </row>
    <row r="134">
      <c r="F134" s="5" t="n"/>
      <c r="O134" s="6" t="n"/>
      <c r="P134" s="6" t="n"/>
    </row>
    <row r="135">
      <c r="F135" s="5" t="n"/>
      <c r="O135" s="6" t="n"/>
      <c r="P135" s="6" t="n"/>
    </row>
    <row r="136">
      <c r="F136" s="5" t="n"/>
      <c r="O136" s="6" t="n"/>
      <c r="P136" s="6" t="n"/>
    </row>
    <row r="137">
      <c r="F137" s="5" t="n"/>
      <c r="O137" s="6" t="n"/>
      <c r="P137" s="6" t="n"/>
    </row>
    <row r="138">
      <c r="F138" s="5" t="n"/>
      <c r="O138" s="6" t="n"/>
      <c r="P138" s="6" t="n"/>
    </row>
    <row r="139">
      <c r="F139" s="5" t="n"/>
      <c r="O139" s="6" t="n"/>
      <c r="P139" s="6" t="n"/>
    </row>
    <row r="140">
      <c r="F140" s="5" t="n"/>
      <c r="O140" s="6" t="n"/>
      <c r="P140" s="6" t="n"/>
    </row>
    <row r="141">
      <c r="F141" s="5" t="n"/>
      <c r="O141" s="6" t="n"/>
      <c r="P141" s="6" t="n"/>
    </row>
    <row r="142">
      <c r="F142" s="5" t="n"/>
      <c r="O142" s="6" t="n"/>
      <c r="P142" s="6" t="n"/>
    </row>
    <row r="143">
      <c r="F143" s="5" t="n"/>
      <c r="O143" s="6" t="n"/>
      <c r="P143" s="6" t="n"/>
    </row>
    <row r="144">
      <c r="F144" s="5" t="n"/>
      <c r="O144" s="6" t="n"/>
      <c r="P144" s="6" t="n"/>
    </row>
    <row r="145">
      <c r="F145" s="5" t="n"/>
      <c r="O145" s="6" t="n"/>
      <c r="P145" s="6" t="n"/>
    </row>
    <row r="146">
      <c r="F146" s="5" t="n"/>
      <c r="O146" s="6" t="n"/>
      <c r="P146" s="6" t="n"/>
    </row>
    <row r="147">
      <c r="F147" s="5" t="n"/>
      <c r="O147" s="6" t="n"/>
      <c r="P147" s="6" t="n"/>
    </row>
    <row r="148">
      <c r="F148" s="5" t="n"/>
      <c r="O148" s="6" t="n"/>
      <c r="P148" s="6" t="n"/>
    </row>
    <row r="149">
      <c r="F149" s="5" t="n"/>
      <c r="O149" s="6" t="n"/>
      <c r="P149" s="6" t="n"/>
    </row>
    <row r="150">
      <c r="F150" s="5" t="n"/>
      <c r="O150" s="6" t="n"/>
      <c r="P150" s="6" t="n"/>
    </row>
    <row r="151">
      <c r="F151" s="5" t="n"/>
      <c r="O151" s="6" t="n"/>
      <c r="P151" s="6" t="n"/>
    </row>
    <row r="152">
      <c r="F152" s="5" t="n"/>
      <c r="O152" s="6" t="n"/>
      <c r="P152" s="6" t="n"/>
    </row>
    <row r="153">
      <c r="F153" s="5" t="n"/>
      <c r="O153" s="6" t="n"/>
      <c r="P153" s="6" t="n"/>
    </row>
    <row r="154">
      <c r="F154" s="5" t="n"/>
      <c r="O154" s="6" t="n"/>
      <c r="P154" s="6" t="n"/>
    </row>
    <row r="155">
      <c r="F155" s="5" t="n"/>
      <c r="O155" s="6" t="n"/>
      <c r="P155" s="6" t="n"/>
    </row>
    <row r="156">
      <c r="F156" s="5" t="n"/>
      <c r="O156" s="6" t="n"/>
      <c r="P156" s="6" t="n"/>
    </row>
    <row r="157">
      <c r="F157" s="5" t="n"/>
      <c r="O157" s="6" t="n"/>
      <c r="P157" s="6" t="n"/>
    </row>
    <row r="158">
      <c r="F158" s="5" t="n"/>
      <c r="O158" s="6" t="n"/>
      <c r="P158" s="6" t="n"/>
    </row>
    <row r="159">
      <c r="F159" s="5" t="n"/>
      <c r="O159" s="6" t="n"/>
      <c r="P159" s="6" t="n"/>
    </row>
    <row r="160">
      <c r="F160" s="5" t="n"/>
      <c r="O160" s="6" t="n"/>
      <c r="P160" s="6" t="n"/>
    </row>
    <row r="161">
      <c r="F161" s="5" t="n"/>
      <c r="O161" s="6" t="n"/>
      <c r="P161" s="6" t="n"/>
    </row>
    <row r="162">
      <c r="F162" s="5" t="n"/>
      <c r="O162" s="6" t="n"/>
      <c r="P162" s="6" t="n"/>
    </row>
    <row r="163">
      <c r="F163" s="5" t="n"/>
      <c r="O163" s="6" t="n"/>
      <c r="P163" s="6" t="n"/>
    </row>
    <row r="164">
      <c r="F164" s="5" t="n"/>
      <c r="O164" s="6" t="n"/>
      <c r="P164" s="6" t="n"/>
    </row>
    <row r="165">
      <c r="F165" s="5" t="n"/>
      <c r="O165" s="6" t="n"/>
      <c r="P165" s="6" t="n"/>
    </row>
    <row r="166">
      <c r="F166" s="5" t="n"/>
      <c r="O166" s="6" t="n"/>
      <c r="P166" s="6" t="n"/>
    </row>
    <row r="167">
      <c r="F167" s="5" t="n"/>
      <c r="O167" s="6" t="n"/>
      <c r="P167" s="6" t="n"/>
    </row>
    <row r="168">
      <c r="F168" s="5" t="n"/>
      <c r="O168" s="6" t="n"/>
      <c r="P168" s="6" t="n"/>
    </row>
    <row r="169">
      <c r="F169" s="5" t="n"/>
      <c r="O169" s="6" t="n"/>
      <c r="P169" s="6" t="n"/>
    </row>
    <row r="170">
      <c r="F170" s="5" t="n"/>
      <c r="O170" s="6" t="n"/>
      <c r="P170" s="6" t="n"/>
    </row>
    <row r="171">
      <c r="F171" s="5" t="n"/>
      <c r="O171" s="6" t="n"/>
      <c r="P171" s="6" t="n"/>
    </row>
    <row r="172">
      <c r="F172" s="5" t="n"/>
      <c r="O172" s="6" t="n"/>
      <c r="P172" s="6" t="n"/>
    </row>
    <row r="173">
      <c r="F173" s="5" t="n"/>
      <c r="O173" s="6" t="n"/>
      <c r="P173" s="6" t="n"/>
    </row>
    <row r="174">
      <c r="F174" s="5" t="n"/>
      <c r="O174" s="6" t="n"/>
      <c r="P174" s="6" t="n"/>
    </row>
    <row r="175">
      <c r="F175" s="5" t="n"/>
      <c r="O175" s="6" t="n"/>
      <c r="P175" s="6" t="n"/>
    </row>
    <row r="176">
      <c r="F176" s="5" t="n"/>
      <c r="O176" s="6" t="n"/>
      <c r="P176" s="6" t="n"/>
    </row>
    <row r="177">
      <c r="F177" s="5" t="n"/>
      <c r="O177" s="6" t="n"/>
      <c r="P177" s="6" t="n"/>
    </row>
    <row r="178">
      <c r="F178" s="5" t="n"/>
      <c r="O178" s="6" t="n"/>
      <c r="P178" s="6" t="n"/>
    </row>
    <row r="179">
      <c r="F179" s="5" t="n"/>
      <c r="O179" s="6" t="n"/>
      <c r="P179" s="6" t="n"/>
    </row>
    <row r="180">
      <c r="F180" s="5" t="n"/>
      <c r="O180" s="6" t="n"/>
      <c r="P180" s="6" t="n"/>
    </row>
    <row r="181">
      <c r="F181" s="5" t="n"/>
      <c r="O181" s="6" t="n"/>
      <c r="P181" s="6" t="n"/>
    </row>
    <row r="182">
      <c r="F182" s="5" t="n"/>
      <c r="O182" s="6" t="n"/>
      <c r="P182" s="6" t="n"/>
    </row>
    <row r="183">
      <c r="F183" s="5" t="n"/>
      <c r="O183" s="6" t="n"/>
      <c r="P183" s="6" t="n"/>
    </row>
    <row r="184">
      <c r="F184" s="5" t="n"/>
      <c r="O184" s="6" t="n"/>
      <c r="P184" s="6" t="n"/>
    </row>
    <row r="185">
      <c r="F185" s="5" t="n"/>
      <c r="O185" s="6" t="n"/>
      <c r="P185" s="6" t="n"/>
    </row>
    <row r="186">
      <c r="F186" s="5" t="n"/>
      <c r="O186" s="6" t="n"/>
      <c r="P186" s="6" t="n"/>
    </row>
    <row r="187">
      <c r="F187" s="5" t="n"/>
      <c r="O187" s="6" t="n"/>
      <c r="P187" s="6" t="n"/>
    </row>
    <row r="188">
      <c r="F188" s="5" t="n"/>
      <c r="O188" s="6" t="n"/>
      <c r="P188" s="6" t="n"/>
    </row>
    <row r="189">
      <c r="F189" s="5" t="n"/>
      <c r="O189" s="6" t="n"/>
      <c r="P189" s="6" t="n"/>
    </row>
    <row r="190">
      <c r="F190" s="5" t="n"/>
      <c r="O190" s="6" t="n"/>
      <c r="P190" s="6" t="n"/>
    </row>
    <row r="191">
      <c r="F191" s="5" t="n"/>
      <c r="O191" s="6" t="n"/>
      <c r="P191" s="6" t="n"/>
    </row>
    <row r="192">
      <c r="F192" s="5" t="n"/>
      <c r="O192" s="6" t="n"/>
      <c r="P192" s="6" t="n"/>
    </row>
    <row r="193">
      <c r="F193" s="5" t="n"/>
      <c r="O193" s="6" t="n"/>
      <c r="P193" s="6" t="n"/>
    </row>
    <row r="194">
      <c r="F194" s="5" t="n"/>
      <c r="O194" s="6" t="n"/>
      <c r="P194" s="6" t="n"/>
    </row>
    <row r="195">
      <c r="F195" s="5" t="n"/>
      <c r="O195" s="6" t="n"/>
      <c r="P195" s="6" t="n"/>
    </row>
    <row r="196">
      <c r="F196" s="5" t="n"/>
      <c r="O196" s="6" t="n"/>
      <c r="P196" s="6" t="n"/>
    </row>
    <row r="197">
      <c r="F197" s="5" t="n"/>
      <c r="O197" s="6" t="n"/>
      <c r="P197" s="6" t="n"/>
    </row>
    <row r="198">
      <c r="F198" s="5" t="n"/>
      <c r="O198" s="6" t="n"/>
      <c r="P198" s="6" t="n"/>
    </row>
    <row r="199">
      <c r="F199" s="5" t="n"/>
      <c r="O199" s="6" t="n"/>
      <c r="P199" s="6" t="n"/>
    </row>
    <row r="200">
      <c r="F200" s="5" t="n"/>
      <c r="O200" s="6" t="n"/>
      <c r="P200" s="6" t="n"/>
    </row>
    <row r="201">
      <c r="F201" s="5" t="n"/>
      <c r="O201" s="6" t="n"/>
      <c r="P201" s="6" t="n"/>
    </row>
    <row r="202">
      <c r="F202" s="5" t="n"/>
      <c r="O202" s="6" t="n"/>
      <c r="P202" s="6" t="n"/>
    </row>
    <row r="203">
      <c r="F203" s="5" t="n"/>
      <c r="O203" s="6" t="n"/>
      <c r="P203" s="6" t="n"/>
    </row>
    <row r="204">
      <c r="F204" s="5" t="n"/>
      <c r="O204" s="6" t="n"/>
      <c r="P204" s="6" t="n"/>
    </row>
    <row r="205">
      <c r="F205" s="5" t="n"/>
      <c r="O205" s="6" t="n"/>
      <c r="P205" s="6" t="n"/>
    </row>
    <row r="206">
      <c r="F206" s="5" t="n"/>
      <c r="O206" s="6" t="n"/>
      <c r="P206" s="6" t="n"/>
    </row>
    <row r="207">
      <c r="F207" s="5" t="n"/>
      <c r="O207" s="6" t="n"/>
      <c r="P207" s="6" t="n"/>
    </row>
    <row r="208">
      <c r="F208" s="5" t="n"/>
      <c r="O208" s="6" t="n"/>
      <c r="P208" s="6" t="n"/>
    </row>
    <row r="209">
      <c r="F209" s="5" t="n"/>
      <c r="O209" s="6" t="n"/>
      <c r="P209" s="6" t="n"/>
    </row>
    <row r="210">
      <c r="F210" s="5" t="n"/>
      <c r="O210" s="6" t="n"/>
      <c r="P210" s="6" t="n"/>
    </row>
    <row r="211">
      <c r="F211" s="5" t="n"/>
      <c r="O211" s="6" t="n"/>
      <c r="P211" s="6" t="n"/>
    </row>
    <row r="212">
      <c r="F212" s="5" t="n"/>
      <c r="O212" s="6" t="n"/>
      <c r="P212" s="6" t="n"/>
    </row>
    <row r="213">
      <c r="F213" s="5" t="n"/>
      <c r="O213" s="6" t="n"/>
      <c r="P213" s="6" t="n"/>
    </row>
    <row r="214">
      <c r="F214" s="5" t="n"/>
      <c r="O214" s="6" t="n"/>
      <c r="P214" s="6" t="n"/>
    </row>
    <row r="215">
      <c r="F215" s="5" t="n"/>
      <c r="O215" s="6" t="n"/>
      <c r="P215" s="6" t="n"/>
    </row>
    <row r="216">
      <c r="F216" s="5" t="n"/>
      <c r="O216" s="6" t="n"/>
      <c r="P216" s="6" t="n"/>
    </row>
    <row r="217">
      <c r="F217" s="5" t="n"/>
      <c r="O217" s="6" t="n"/>
      <c r="P217" s="6" t="n"/>
    </row>
    <row r="218">
      <c r="F218" s="5" t="n"/>
      <c r="O218" s="6" t="n"/>
      <c r="P218" s="6" t="n"/>
    </row>
    <row r="219">
      <c r="F219" s="5" t="n"/>
      <c r="O219" s="6" t="n"/>
      <c r="P219" s="6" t="n"/>
    </row>
    <row r="220">
      <c r="F220" s="5" t="n"/>
      <c r="O220" s="6" t="n"/>
      <c r="P220" s="6" t="n"/>
    </row>
    <row r="221">
      <c r="F221" s="5" t="n"/>
      <c r="O221" s="6" t="n"/>
      <c r="P221" s="6" t="n"/>
    </row>
    <row r="222">
      <c r="F222" s="5" t="n"/>
      <c r="O222" s="6" t="n"/>
      <c r="P222" s="6" t="n"/>
    </row>
    <row r="223">
      <c r="F223" s="5" t="n"/>
      <c r="O223" s="6" t="n"/>
      <c r="P223" s="6" t="n"/>
    </row>
    <row r="224">
      <c r="F224" s="5" t="n"/>
      <c r="O224" s="6" t="n"/>
      <c r="P224" s="6" t="n"/>
    </row>
    <row r="225">
      <c r="F225" s="5" t="n"/>
      <c r="O225" s="6" t="n"/>
      <c r="P225" s="6" t="n"/>
    </row>
    <row r="226">
      <c r="F226" s="5" t="n"/>
      <c r="O226" s="6" t="n"/>
      <c r="P226" s="6" t="n"/>
    </row>
    <row r="227">
      <c r="F227" s="5" t="n"/>
      <c r="O227" s="6" t="n"/>
      <c r="P227" s="6" t="n"/>
    </row>
    <row r="228">
      <c r="F228" s="5" t="n"/>
      <c r="O228" s="6" t="n"/>
      <c r="P228" s="6" t="n"/>
    </row>
    <row r="229">
      <c r="F229" s="5" t="n"/>
      <c r="O229" s="6" t="n"/>
      <c r="P229" s="6" t="n"/>
    </row>
    <row r="230">
      <c r="F230" s="5" t="n"/>
      <c r="O230" s="6" t="n"/>
      <c r="P230" s="6" t="n"/>
    </row>
    <row r="231">
      <c r="F231" s="5" t="n"/>
      <c r="O231" s="6" t="n"/>
      <c r="P231" s="6" t="n"/>
    </row>
    <row r="232">
      <c r="F232" s="5" t="n"/>
      <c r="O232" s="6" t="n"/>
      <c r="P232" s="6" t="n"/>
    </row>
    <row r="233">
      <c r="F233" s="5" t="n"/>
      <c r="O233" s="6" t="n"/>
      <c r="P233" s="6" t="n"/>
    </row>
    <row r="234">
      <c r="F234" s="5" t="n"/>
      <c r="O234" s="6" t="n"/>
      <c r="P234" s="6" t="n"/>
    </row>
    <row r="235">
      <c r="F235" s="5" t="n"/>
      <c r="O235" s="6" t="n"/>
      <c r="P235" s="6" t="n"/>
    </row>
    <row r="236">
      <c r="F236" s="5" t="n"/>
      <c r="O236" s="6" t="n"/>
      <c r="P236" s="6" t="n"/>
    </row>
    <row r="237">
      <c r="F237" s="5" t="n"/>
      <c r="O237" s="6" t="n"/>
      <c r="P237" s="6" t="n"/>
    </row>
    <row r="238">
      <c r="F238" s="5" t="n"/>
      <c r="O238" s="6" t="n"/>
      <c r="P238" s="6" t="n"/>
    </row>
    <row r="239">
      <c r="F239" s="5" t="n"/>
      <c r="O239" s="6" t="n"/>
      <c r="P239" s="6" t="n"/>
    </row>
    <row r="240">
      <c r="F240" s="5" t="n"/>
      <c r="O240" s="6" t="n"/>
      <c r="P240" s="6" t="n"/>
    </row>
    <row r="241">
      <c r="F241" s="5" t="n"/>
      <c r="O241" s="6" t="n"/>
      <c r="P241" s="6" t="n"/>
    </row>
    <row r="242">
      <c r="F242" s="5" t="n"/>
      <c r="O242" s="6" t="n"/>
      <c r="P242" s="6" t="n"/>
    </row>
    <row r="243">
      <c r="F243" s="5" t="n"/>
      <c r="O243" s="6" t="n"/>
      <c r="P243" s="6" t="n"/>
    </row>
    <row r="244">
      <c r="F244" s="5" t="n"/>
      <c r="O244" s="6" t="n"/>
      <c r="P244" s="6" t="n"/>
    </row>
    <row r="245">
      <c r="F245" s="5" t="n"/>
      <c r="O245" s="6" t="n"/>
      <c r="P245" s="6" t="n"/>
    </row>
    <row r="246">
      <c r="F246" s="5" t="n"/>
      <c r="O246" s="6" t="n"/>
      <c r="P246" s="6" t="n"/>
    </row>
    <row r="247">
      <c r="F247" s="5" t="n"/>
      <c r="O247" s="6" t="n"/>
      <c r="P247" s="6" t="n"/>
    </row>
    <row r="248">
      <c r="F248" s="5" t="n"/>
      <c r="O248" s="6" t="n"/>
      <c r="P248" s="6" t="n"/>
    </row>
    <row r="249">
      <c r="F249" s="5" t="n"/>
      <c r="O249" s="6" t="n"/>
      <c r="P249" s="6" t="n"/>
    </row>
    <row r="250">
      <c r="F250" s="5" t="n"/>
      <c r="O250" s="6" t="n"/>
      <c r="P250" s="6" t="n"/>
    </row>
    <row r="251">
      <c r="F251" s="5" t="n"/>
      <c r="O251" s="6" t="n"/>
      <c r="P251" s="6" t="n"/>
    </row>
    <row r="252">
      <c r="F252" s="5" t="n"/>
      <c r="O252" s="6" t="n"/>
      <c r="P252" s="6" t="n"/>
    </row>
    <row r="253">
      <c r="F253" s="5" t="n"/>
      <c r="O253" s="6" t="n"/>
      <c r="P253" s="6" t="n"/>
    </row>
    <row r="254">
      <c r="F254" s="5" t="n"/>
      <c r="O254" s="6" t="n"/>
      <c r="P254" s="6" t="n"/>
    </row>
    <row r="255">
      <c r="F255" s="5" t="n"/>
      <c r="O255" s="6" t="n"/>
      <c r="P255" s="6" t="n"/>
    </row>
    <row r="256">
      <c r="F256" s="5" t="n"/>
      <c r="O256" s="6" t="n"/>
      <c r="P256" s="6" t="n"/>
    </row>
    <row r="257">
      <c r="F257" s="5" t="n"/>
      <c r="O257" s="6" t="n"/>
      <c r="P257" s="6" t="n"/>
    </row>
    <row r="258">
      <c r="F258" s="5" t="n"/>
      <c r="O258" s="6" t="n"/>
      <c r="P258" s="6" t="n"/>
    </row>
    <row r="259">
      <c r="F259" s="5" t="n"/>
      <c r="O259" s="6" t="n"/>
      <c r="P259" s="6" t="n"/>
    </row>
    <row r="260">
      <c r="F260" s="5" t="n"/>
      <c r="O260" s="6" t="n"/>
      <c r="P260" s="6" t="n"/>
    </row>
    <row r="261">
      <c r="F261" s="5" t="n"/>
      <c r="O261" s="6" t="n"/>
      <c r="P261" s="6" t="n"/>
    </row>
    <row r="262">
      <c r="F262" s="5" t="n"/>
      <c r="O262" s="6" t="n"/>
      <c r="P262" s="6" t="n"/>
    </row>
    <row r="263">
      <c r="F263" s="5" t="n"/>
      <c r="O263" s="6" t="n"/>
      <c r="P263" s="6" t="n"/>
    </row>
    <row r="264">
      <c r="F264" s="5" t="n"/>
      <c r="O264" s="6" t="n"/>
      <c r="P264" s="6" t="n"/>
    </row>
    <row r="265">
      <c r="F265" s="5" t="n"/>
      <c r="O265" s="6" t="n"/>
      <c r="P265" s="6" t="n"/>
    </row>
    <row r="266">
      <c r="F266" s="5" t="n"/>
      <c r="O266" s="6" t="n"/>
      <c r="P266" s="6" t="n"/>
    </row>
    <row r="267">
      <c r="F267" s="5" t="n"/>
      <c r="O267" s="6" t="n"/>
      <c r="P267" s="6" t="n"/>
    </row>
    <row r="268">
      <c r="F268" s="5" t="n"/>
      <c r="O268" s="6" t="n"/>
      <c r="P268" s="6" t="n"/>
    </row>
    <row r="269">
      <c r="F269" s="5" t="n"/>
      <c r="O269" s="6" t="n"/>
      <c r="P269" s="6" t="n"/>
    </row>
    <row r="270">
      <c r="F270" s="5" t="n"/>
      <c r="O270" s="6" t="n"/>
      <c r="P270" s="6" t="n"/>
    </row>
    <row r="271">
      <c r="F271" s="5" t="n"/>
      <c r="O271" s="6" t="n"/>
      <c r="P271" s="6" t="n"/>
    </row>
    <row r="272">
      <c r="F272" s="5" t="n"/>
      <c r="O272" s="6" t="n"/>
      <c r="P272" s="6" t="n"/>
    </row>
    <row r="273">
      <c r="F273" s="5" t="n"/>
      <c r="O273" s="6" t="n"/>
      <c r="P273" s="6" t="n"/>
    </row>
    <row r="274">
      <c r="F274" s="5" t="n"/>
      <c r="O274" s="6" t="n"/>
      <c r="P274" s="6" t="n"/>
    </row>
    <row r="275">
      <c r="F275" s="5" t="n"/>
      <c r="O275" s="6" t="n"/>
      <c r="P275" s="6" t="n"/>
    </row>
    <row r="276">
      <c r="F276" s="5" t="n"/>
      <c r="O276" s="6" t="n"/>
      <c r="P276" s="6" t="n"/>
    </row>
    <row r="277">
      <c r="F277" s="5" t="n"/>
      <c r="O277" s="6" t="n"/>
      <c r="P277" s="6" t="n"/>
    </row>
    <row r="278">
      <c r="F278" s="5" t="n"/>
      <c r="O278" s="6" t="n"/>
      <c r="P278" s="6" t="n"/>
    </row>
    <row r="279">
      <c r="F279" s="5" t="n"/>
      <c r="O279" s="6" t="n"/>
      <c r="P279" s="6" t="n"/>
    </row>
    <row r="280">
      <c r="F280" s="5" t="n"/>
      <c r="O280" s="6" t="n"/>
      <c r="P280" s="6" t="n"/>
    </row>
    <row r="281">
      <c r="F281" s="5" t="n"/>
      <c r="O281" s="6" t="n"/>
      <c r="P281" s="6" t="n"/>
    </row>
    <row r="282">
      <c r="F282" s="5" t="n"/>
      <c r="O282" s="6" t="n"/>
      <c r="P282" s="6" t="n"/>
    </row>
    <row r="283">
      <c r="F283" s="5" t="n"/>
      <c r="O283" s="6" t="n"/>
      <c r="P283" s="6" t="n"/>
    </row>
    <row r="284">
      <c r="F284" s="5" t="n"/>
      <c r="O284" s="6" t="n"/>
      <c r="P284" s="6" t="n"/>
    </row>
    <row r="285">
      <c r="F285" s="5" t="n"/>
      <c r="O285" s="6" t="n"/>
      <c r="P285" s="6" t="n"/>
    </row>
    <row r="286">
      <c r="F286" s="5" t="n"/>
      <c r="O286" s="6" t="n"/>
      <c r="P286" s="6" t="n"/>
    </row>
    <row r="287">
      <c r="F287" s="5" t="n"/>
      <c r="O287" s="6" t="n"/>
      <c r="P287" s="6" t="n"/>
    </row>
    <row r="288">
      <c r="F288" s="5" t="n"/>
      <c r="O288" s="6" t="n"/>
      <c r="P288" s="6" t="n"/>
    </row>
    <row r="289">
      <c r="F289" s="5" t="n"/>
      <c r="O289" s="6" t="n"/>
      <c r="P289" s="6" t="n"/>
    </row>
    <row r="290">
      <c r="F290" s="5" t="n"/>
      <c r="O290" s="6" t="n"/>
      <c r="P290" s="6" t="n"/>
    </row>
    <row r="291">
      <c r="F291" s="5" t="n"/>
      <c r="O291" s="6" t="n"/>
      <c r="P291" s="6" t="n"/>
    </row>
    <row r="292">
      <c r="F292" s="5" t="n"/>
      <c r="O292" s="6" t="n"/>
      <c r="P292" s="6" t="n"/>
    </row>
    <row r="293">
      <c r="F293" s="5" t="n"/>
      <c r="O293" s="6" t="n"/>
      <c r="P293" s="6" t="n"/>
    </row>
    <row r="294">
      <c r="F294" s="5" t="n"/>
      <c r="O294" s="6" t="n"/>
      <c r="P294" s="6" t="n"/>
    </row>
    <row r="295">
      <c r="F295" s="5" t="n"/>
      <c r="O295" s="6" t="n"/>
      <c r="P295" s="6" t="n"/>
    </row>
    <row r="296">
      <c r="F296" s="5" t="n"/>
      <c r="O296" s="6" t="n"/>
      <c r="P296" s="6" t="n"/>
    </row>
    <row r="297">
      <c r="F297" s="5" t="n"/>
      <c r="O297" s="6" t="n"/>
      <c r="P297" s="6" t="n"/>
    </row>
    <row r="298">
      <c r="F298" s="5" t="n"/>
      <c r="O298" s="6" t="n"/>
      <c r="P298" s="6" t="n"/>
    </row>
    <row r="299">
      <c r="F299" s="5" t="n"/>
      <c r="O299" s="6" t="n"/>
      <c r="P299" s="6" t="n"/>
    </row>
    <row r="300">
      <c r="F300" s="5" t="n"/>
      <c r="O300" s="6" t="n"/>
      <c r="P300" s="6" t="n"/>
    </row>
    <row r="301">
      <c r="F301" s="5" t="n"/>
      <c r="O301" s="6" t="n"/>
      <c r="P301" s="6" t="n"/>
    </row>
    <row r="302">
      <c r="F302" s="5" t="n"/>
      <c r="O302" s="6" t="n"/>
      <c r="P302" s="6" t="n"/>
    </row>
    <row r="303">
      <c r="F303" s="5" t="n"/>
      <c r="O303" s="6" t="n"/>
      <c r="P303" s="6" t="n"/>
    </row>
    <row r="304">
      <c r="F304" s="5" t="n"/>
      <c r="O304" s="6" t="n"/>
      <c r="P304" s="6" t="n"/>
    </row>
    <row r="305">
      <c r="F305" s="5" t="n"/>
      <c r="O305" s="6" t="n"/>
      <c r="P305" s="6" t="n"/>
    </row>
    <row r="306">
      <c r="F306" s="5" t="n"/>
      <c r="O306" s="6" t="n"/>
      <c r="P306" s="6" t="n"/>
    </row>
    <row r="307">
      <c r="F307" s="5" t="n"/>
      <c r="O307" s="6" t="n"/>
      <c r="P307" s="6" t="n"/>
    </row>
    <row r="308">
      <c r="F308" s="5" t="n"/>
      <c r="O308" s="6" t="n"/>
      <c r="P308" s="6" t="n"/>
    </row>
    <row r="309">
      <c r="F309" s="5" t="n"/>
      <c r="O309" s="6" t="n"/>
      <c r="P309" s="6" t="n"/>
    </row>
    <row r="310">
      <c r="F310" s="5" t="n"/>
      <c r="O310" s="6" t="n"/>
      <c r="P310" s="6" t="n"/>
    </row>
    <row r="311">
      <c r="F311" s="5" t="n"/>
      <c r="O311" s="6" t="n"/>
      <c r="P311" s="6" t="n"/>
    </row>
    <row r="312">
      <c r="F312" s="5" t="n"/>
      <c r="O312" s="6" t="n"/>
      <c r="P312" s="6" t="n"/>
    </row>
    <row r="313">
      <c r="F313" s="5" t="n"/>
      <c r="O313" s="6" t="n"/>
      <c r="P313" s="6" t="n"/>
    </row>
    <row r="314">
      <c r="F314" s="5" t="n"/>
      <c r="O314" s="6" t="n"/>
      <c r="P314" s="6" t="n"/>
    </row>
    <row r="315">
      <c r="F315" s="5" t="n"/>
      <c r="O315" s="6" t="n"/>
      <c r="P315" s="6" t="n"/>
    </row>
    <row r="316">
      <c r="F316" s="5" t="n"/>
      <c r="O316" s="6" t="n"/>
      <c r="P316" s="6" t="n"/>
    </row>
    <row r="317">
      <c r="F317" s="5" t="n"/>
      <c r="O317" s="6" t="n"/>
      <c r="P317" s="6" t="n"/>
    </row>
    <row r="318">
      <c r="F318" s="5" t="n"/>
      <c r="O318" s="6" t="n"/>
      <c r="P318" s="6" t="n"/>
    </row>
    <row r="319">
      <c r="F319" s="5" t="n"/>
      <c r="O319" s="6" t="n"/>
      <c r="P319" s="6" t="n"/>
    </row>
    <row r="320">
      <c r="F320" s="5" t="n"/>
      <c r="O320" s="6" t="n"/>
      <c r="P320" s="6" t="n"/>
    </row>
    <row r="321">
      <c r="F321" s="5" t="n"/>
      <c r="O321" s="6" t="n"/>
      <c r="P321" s="6" t="n"/>
    </row>
    <row r="322">
      <c r="F322" s="5" t="n"/>
      <c r="O322" s="6" t="n"/>
      <c r="P322" s="6" t="n"/>
    </row>
    <row r="323">
      <c r="F323" s="5" t="n"/>
      <c r="O323" s="6" t="n"/>
      <c r="P323" s="6" t="n"/>
    </row>
    <row r="324">
      <c r="F324" s="5" t="n"/>
      <c r="O324" s="6" t="n"/>
      <c r="P324" s="6" t="n"/>
    </row>
    <row r="325">
      <c r="F325" s="5" t="n"/>
      <c r="O325" s="6" t="n"/>
      <c r="P325" s="6" t="n"/>
    </row>
    <row r="326">
      <c r="F326" s="5" t="n"/>
      <c r="O326" s="6" t="n"/>
      <c r="P326" s="6" t="n"/>
    </row>
    <row r="327">
      <c r="F327" s="5" t="n"/>
      <c r="O327" s="6" t="n"/>
      <c r="P327" s="6" t="n"/>
    </row>
    <row r="328">
      <c r="F328" s="5" t="n"/>
      <c r="O328" s="6" t="n"/>
      <c r="P328" s="6" t="n"/>
    </row>
    <row r="329">
      <c r="F329" s="5" t="n"/>
      <c r="O329" s="6" t="n"/>
      <c r="P329" s="6" t="n"/>
    </row>
    <row r="330">
      <c r="F330" s="5" t="n"/>
      <c r="O330" s="6" t="n"/>
      <c r="P330" s="6" t="n"/>
    </row>
    <row r="331">
      <c r="F331" s="5" t="n"/>
      <c r="O331" s="6" t="n"/>
      <c r="P331" s="6" t="n"/>
    </row>
    <row r="332">
      <c r="F332" s="5" t="n"/>
      <c r="O332" s="6" t="n"/>
      <c r="P332" s="6" t="n"/>
    </row>
    <row r="333">
      <c r="F333" s="5" t="n"/>
      <c r="O333" s="6" t="n"/>
      <c r="P333" s="6" t="n"/>
    </row>
    <row r="334">
      <c r="F334" s="5" t="n"/>
      <c r="O334" s="6" t="n"/>
      <c r="P334" s="6" t="n"/>
    </row>
    <row r="335">
      <c r="F335" s="5" t="n"/>
      <c r="O335" s="6" t="n"/>
      <c r="P335" s="6" t="n"/>
    </row>
    <row r="336">
      <c r="F336" s="5" t="n"/>
      <c r="O336" s="6" t="n"/>
      <c r="P336" s="6" t="n"/>
    </row>
    <row r="337">
      <c r="F337" s="5" t="n"/>
      <c r="O337" s="6" t="n"/>
      <c r="P337" s="6" t="n"/>
    </row>
    <row r="338">
      <c r="F338" s="5" t="n"/>
      <c r="O338" s="6" t="n"/>
      <c r="P338" s="6" t="n"/>
    </row>
    <row r="339">
      <c r="F339" s="5" t="n"/>
      <c r="O339" s="6" t="n"/>
      <c r="P339" s="6" t="n"/>
    </row>
    <row r="340">
      <c r="F340" s="5" t="n"/>
      <c r="O340" s="6" t="n"/>
      <c r="P340" s="6" t="n"/>
    </row>
    <row r="341">
      <c r="F341" s="5" t="n"/>
      <c r="O341" s="6" t="n"/>
      <c r="P341" s="6" t="n"/>
    </row>
    <row r="342">
      <c r="F342" s="5" t="n"/>
      <c r="O342" s="6" t="n"/>
      <c r="P342" s="6" t="n"/>
    </row>
    <row r="343">
      <c r="F343" s="5" t="n"/>
      <c r="O343" s="6" t="n"/>
      <c r="P343" s="6" t="n"/>
    </row>
    <row r="344">
      <c r="F344" s="5" t="n"/>
      <c r="O344" s="6" t="n"/>
      <c r="P344" s="6" t="n"/>
    </row>
    <row r="345">
      <c r="F345" s="5" t="n"/>
      <c r="O345" s="6" t="n"/>
      <c r="P345" s="6" t="n"/>
    </row>
    <row r="346">
      <c r="F346" s="5" t="n"/>
      <c r="O346" s="6" t="n"/>
      <c r="P346" s="6" t="n"/>
    </row>
    <row r="347">
      <c r="F347" s="5" t="n"/>
      <c r="O347" s="6" t="n"/>
      <c r="P347" s="6" t="n"/>
    </row>
    <row r="348">
      <c r="F348" s="5" t="n"/>
      <c r="O348" s="6" t="n"/>
      <c r="P348" s="6" t="n"/>
    </row>
    <row r="349">
      <c r="F349" s="5" t="n"/>
      <c r="O349" s="6" t="n"/>
      <c r="P349" s="6" t="n"/>
    </row>
    <row r="350">
      <c r="F350" s="5" t="n"/>
      <c r="O350" s="6" t="n"/>
      <c r="P350" s="6" t="n"/>
    </row>
    <row r="351">
      <c r="F351" s="5" t="n"/>
      <c r="O351" s="6" t="n"/>
      <c r="P351" s="6" t="n"/>
    </row>
    <row r="352">
      <c r="F352" s="5" t="n"/>
      <c r="O352" s="6" t="n"/>
      <c r="P352" s="6" t="n"/>
    </row>
    <row r="353">
      <c r="F353" s="5" t="n"/>
      <c r="O353" s="6" t="n"/>
      <c r="P353" s="6" t="n"/>
    </row>
    <row r="354">
      <c r="F354" s="5" t="n"/>
      <c r="O354" s="6" t="n"/>
      <c r="P354" s="6" t="n"/>
    </row>
    <row r="355">
      <c r="F355" s="5" t="n"/>
      <c r="O355" s="6" t="n"/>
      <c r="P355" s="6" t="n"/>
    </row>
    <row r="356">
      <c r="F356" s="5" t="n"/>
      <c r="O356" s="6" t="n"/>
      <c r="P356" s="6" t="n"/>
    </row>
    <row r="357">
      <c r="F357" s="5" t="n"/>
      <c r="O357" s="6" t="n"/>
      <c r="P357" s="6" t="n"/>
    </row>
    <row r="358">
      <c r="F358" s="5" t="n"/>
      <c r="O358" s="6" t="n"/>
      <c r="P358" s="6" t="n"/>
    </row>
    <row r="359">
      <c r="F359" s="5" t="n"/>
      <c r="O359" s="6" t="n"/>
      <c r="P359" s="6" t="n"/>
    </row>
    <row r="360">
      <c r="F360" s="5" t="n"/>
      <c r="O360" s="6" t="n"/>
      <c r="P360" s="6" t="n"/>
    </row>
    <row r="361">
      <c r="F361" s="5" t="n"/>
      <c r="O361" s="6" t="n"/>
      <c r="P361" s="6" t="n"/>
    </row>
    <row r="362">
      <c r="F362" s="5" t="n"/>
      <c r="O362" s="6" t="n"/>
      <c r="P362" s="6" t="n"/>
    </row>
    <row r="363">
      <c r="F363" s="5" t="n"/>
      <c r="O363" s="6" t="n"/>
      <c r="P363" s="6" t="n"/>
    </row>
    <row r="364">
      <c r="F364" s="5" t="n"/>
      <c r="O364" s="6" t="n"/>
      <c r="P364" s="6" t="n"/>
    </row>
    <row r="365">
      <c r="F365" s="5" t="n"/>
      <c r="O365" s="6" t="n"/>
      <c r="P365" s="6" t="n"/>
    </row>
    <row r="366">
      <c r="F366" s="5" t="n"/>
      <c r="O366" s="6" t="n"/>
      <c r="P366" s="6" t="n"/>
    </row>
    <row r="367">
      <c r="F367" s="5" t="n"/>
      <c r="O367" s="6" t="n"/>
      <c r="P367" s="6" t="n"/>
    </row>
    <row r="368">
      <c r="F368" s="5" t="n"/>
      <c r="O368" s="6" t="n"/>
      <c r="P368" s="6" t="n"/>
    </row>
    <row r="369">
      <c r="F369" s="5" t="n"/>
      <c r="O369" s="6" t="n"/>
      <c r="P369" s="6" t="n"/>
    </row>
    <row r="370">
      <c r="F370" s="5" t="n"/>
      <c r="O370" s="6" t="n"/>
      <c r="P370" s="6" t="n"/>
    </row>
    <row r="371">
      <c r="F371" s="5" t="n"/>
      <c r="O371" s="6" t="n"/>
      <c r="P371" s="6" t="n"/>
    </row>
    <row r="372">
      <c r="F372" s="5" t="n"/>
      <c r="O372" s="6" t="n"/>
      <c r="P372" s="6" t="n"/>
    </row>
    <row r="373">
      <c r="F373" s="5" t="n"/>
      <c r="O373" s="6" t="n"/>
      <c r="P373" s="6" t="n"/>
    </row>
    <row r="374">
      <c r="F374" s="5" t="n"/>
      <c r="O374" s="6" t="n"/>
      <c r="P374" s="6" t="n"/>
    </row>
    <row r="375">
      <c r="F375" s="5" t="n"/>
      <c r="O375" s="6" t="n"/>
      <c r="P375" s="6" t="n"/>
    </row>
    <row r="376">
      <c r="F376" s="5" t="n"/>
      <c r="O376" s="6" t="n"/>
      <c r="P376" s="6" t="n"/>
    </row>
    <row r="377">
      <c r="F377" s="5" t="n"/>
      <c r="O377" s="6" t="n"/>
      <c r="P377" s="6" t="n"/>
    </row>
    <row r="378">
      <c r="F378" s="5" t="n"/>
      <c r="O378" s="6" t="n"/>
      <c r="P378" s="6" t="n"/>
    </row>
    <row r="379">
      <c r="F379" s="5" t="n"/>
      <c r="O379" s="6" t="n"/>
      <c r="P379" s="6" t="n"/>
    </row>
    <row r="380">
      <c r="F380" s="5" t="n"/>
      <c r="O380" s="6" t="n"/>
      <c r="P380" s="6" t="n"/>
    </row>
    <row r="381">
      <c r="F381" s="5" t="n"/>
      <c r="O381" s="6" t="n"/>
      <c r="P381" s="6" t="n"/>
    </row>
    <row r="382">
      <c r="F382" s="5" t="n"/>
      <c r="O382" s="6" t="n"/>
      <c r="P382" s="6" t="n"/>
    </row>
    <row r="383">
      <c r="F383" s="5" t="n"/>
      <c r="O383" s="6" t="n"/>
      <c r="P383" s="6" t="n"/>
    </row>
    <row r="384">
      <c r="F384" s="5" t="n"/>
      <c r="O384" s="6" t="n"/>
      <c r="P384" s="6" t="n"/>
    </row>
    <row r="385">
      <c r="F385" s="5" t="n"/>
      <c r="O385" s="6" t="n"/>
      <c r="P385" s="6" t="n"/>
    </row>
    <row r="386">
      <c r="F386" s="5" t="n"/>
      <c r="O386" s="6" t="n"/>
      <c r="P386" s="6" t="n"/>
    </row>
    <row r="387">
      <c r="F387" s="5" t="n"/>
      <c r="O387" s="6" t="n"/>
      <c r="P387" s="6" t="n"/>
    </row>
    <row r="388">
      <c r="F388" s="5" t="n"/>
      <c r="O388" s="6" t="n"/>
      <c r="P388" s="6" t="n"/>
    </row>
    <row r="389">
      <c r="F389" s="5" t="n"/>
      <c r="O389" s="6" t="n"/>
      <c r="P389" s="6" t="n"/>
    </row>
    <row r="390">
      <c r="F390" s="5" t="n"/>
      <c r="O390" s="6" t="n"/>
      <c r="P390" s="6" t="n"/>
    </row>
    <row r="391">
      <c r="F391" s="5" t="n"/>
      <c r="O391" s="6" t="n"/>
      <c r="P391" s="6" t="n"/>
    </row>
    <row r="392">
      <c r="F392" s="5" t="n"/>
      <c r="O392" s="6" t="n"/>
      <c r="P392" s="6" t="n"/>
    </row>
    <row r="393">
      <c r="F393" s="5" t="n"/>
      <c r="O393" s="6" t="n"/>
      <c r="P393" s="6" t="n"/>
    </row>
    <row r="394">
      <c r="F394" s="5" t="n"/>
      <c r="O394" s="6" t="n"/>
      <c r="P394" s="6" t="n"/>
    </row>
    <row r="395">
      <c r="F395" s="5" t="n"/>
      <c r="O395" s="6" t="n"/>
      <c r="P395" s="6" t="n"/>
    </row>
    <row r="396">
      <c r="F396" s="5" t="n"/>
      <c r="O396" s="6" t="n"/>
      <c r="P396" s="6" t="n"/>
    </row>
    <row r="397">
      <c r="F397" s="5" t="n"/>
      <c r="O397" s="6" t="n"/>
      <c r="P397" s="6" t="n"/>
    </row>
    <row r="398">
      <c r="F398" s="5" t="n"/>
      <c r="O398" s="6" t="n"/>
      <c r="P398" s="6" t="n"/>
    </row>
    <row r="399">
      <c r="F399" s="5" t="n"/>
      <c r="O399" s="6" t="n"/>
      <c r="P399" s="6" t="n"/>
    </row>
    <row r="400">
      <c r="F400" s="5" t="n"/>
      <c r="O400" s="6" t="n"/>
      <c r="P400" s="6" t="n"/>
    </row>
    <row r="401">
      <c r="F401" s="5" t="n"/>
      <c r="O401" s="6" t="n"/>
      <c r="P401" s="6" t="n"/>
    </row>
    <row r="402">
      <c r="F402" s="5" t="n"/>
      <c r="O402" s="6" t="n"/>
      <c r="P402" s="6" t="n"/>
    </row>
    <row r="403">
      <c r="F403" s="5" t="n"/>
      <c r="O403" s="6" t="n"/>
      <c r="P403" s="6" t="n"/>
    </row>
    <row r="404">
      <c r="F404" s="5" t="n"/>
      <c r="O404" s="6" t="n"/>
      <c r="P404" s="6" t="n"/>
    </row>
    <row r="405">
      <c r="F405" s="5" t="n"/>
      <c r="O405" s="6" t="n"/>
      <c r="P405" s="6" t="n"/>
    </row>
    <row r="406">
      <c r="F406" s="5" t="n"/>
      <c r="O406" s="6" t="n"/>
      <c r="P406" s="6" t="n"/>
    </row>
    <row r="407">
      <c r="F407" s="5" t="n"/>
      <c r="O407" s="6" t="n"/>
      <c r="P407" s="6" t="n"/>
    </row>
    <row r="408">
      <c r="F408" s="5" t="n"/>
      <c r="O408" s="6" t="n"/>
      <c r="P408" s="6" t="n"/>
    </row>
    <row r="409">
      <c r="F409" s="5" t="n"/>
      <c r="O409" s="6" t="n"/>
      <c r="P409" s="6" t="n"/>
    </row>
    <row r="410">
      <c r="F410" s="5" t="n"/>
      <c r="O410" s="6" t="n"/>
      <c r="P410" s="6" t="n"/>
    </row>
    <row r="411">
      <c r="F411" s="5" t="n"/>
      <c r="O411" s="6" t="n"/>
      <c r="P411" s="6" t="n"/>
    </row>
    <row r="412">
      <c r="F412" s="5" t="n"/>
      <c r="O412" s="6" t="n"/>
      <c r="P412" s="6" t="n"/>
    </row>
    <row r="413">
      <c r="F413" s="5" t="n"/>
      <c r="O413" s="6" t="n"/>
      <c r="P413" s="6" t="n"/>
    </row>
    <row r="414">
      <c r="F414" s="5" t="n"/>
      <c r="O414" s="6" t="n"/>
      <c r="P414" s="6" t="n"/>
    </row>
    <row r="415">
      <c r="F415" s="5" t="n"/>
      <c r="O415" s="6" t="n"/>
      <c r="P415" s="6" t="n"/>
    </row>
    <row r="416">
      <c r="F416" s="5" t="n"/>
      <c r="O416" s="6" t="n"/>
      <c r="P416" s="6" t="n"/>
    </row>
    <row r="417">
      <c r="F417" s="5" t="n"/>
      <c r="O417" s="6" t="n"/>
      <c r="P417" s="6" t="n"/>
    </row>
    <row r="418">
      <c r="F418" s="5" t="n"/>
      <c r="O418" s="6" t="n"/>
      <c r="P418" s="6" t="n"/>
    </row>
    <row r="419">
      <c r="F419" s="5" t="n"/>
      <c r="O419" s="6" t="n"/>
      <c r="P419" s="6" t="n"/>
    </row>
    <row r="420">
      <c r="F420" s="5" t="n"/>
      <c r="O420" s="6" t="n"/>
      <c r="P420" s="6" t="n"/>
    </row>
    <row r="421">
      <c r="F421" s="5" t="n"/>
      <c r="O421" s="6" t="n"/>
      <c r="P421" s="6" t="n"/>
    </row>
    <row r="422">
      <c r="F422" s="5" t="n"/>
      <c r="O422" s="6" t="n"/>
      <c r="P422" s="6" t="n"/>
    </row>
    <row r="423">
      <c r="F423" s="5" t="n"/>
      <c r="O423" s="6" t="n"/>
      <c r="P423" s="6" t="n"/>
    </row>
    <row r="424">
      <c r="F424" s="5" t="n"/>
      <c r="O424" s="6" t="n"/>
      <c r="P424" s="6" t="n"/>
    </row>
    <row r="425">
      <c r="F425" s="5" t="n"/>
      <c r="O425" s="6" t="n"/>
      <c r="P425" s="6" t="n"/>
    </row>
    <row r="426">
      <c r="F426" s="5" t="n"/>
      <c r="O426" s="6" t="n"/>
      <c r="P426" s="6" t="n"/>
    </row>
    <row r="427">
      <c r="F427" s="5" t="n"/>
      <c r="O427" s="6" t="n"/>
      <c r="P427" s="6" t="n"/>
    </row>
    <row r="428">
      <c r="F428" s="5" t="n"/>
      <c r="O428" s="6" t="n"/>
      <c r="P428" s="6" t="n"/>
    </row>
    <row r="429">
      <c r="F429" s="5" t="n"/>
      <c r="O429" s="6" t="n"/>
      <c r="P429" s="6" t="n"/>
    </row>
    <row r="430">
      <c r="F430" s="5" t="n"/>
      <c r="O430" s="6" t="n"/>
      <c r="P430" s="6" t="n"/>
    </row>
    <row r="431">
      <c r="F431" s="5" t="n"/>
      <c r="O431" s="6" t="n"/>
      <c r="P431" s="6" t="n"/>
    </row>
    <row r="432">
      <c r="F432" s="5" t="n"/>
      <c r="O432" s="6" t="n"/>
      <c r="P432" s="6" t="n"/>
    </row>
    <row r="433">
      <c r="F433" s="5" t="n"/>
      <c r="O433" s="6" t="n"/>
      <c r="P433" s="6" t="n"/>
    </row>
    <row r="434">
      <c r="F434" s="5" t="n"/>
      <c r="O434" s="6" t="n"/>
      <c r="P434" s="6" t="n"/>
    </row>
    <row r="435">
      <c r="F435" s="5" t="n"/>
      <c r="O435" s="6" t="n"/>
      <c r="P435" s="6" t="n"/>
    </row>
    <row r="436">
      <c r="F436" s="5" t="n"/>
      <c r="O436" s="6" t="n"/>
      <c r="P436" s="6" t="n"/>
    </row>
    <row r="437">
      <c r="F437" s="5" t="n"/>
      <c r="O437" s="6" t="n"/>
      <c r="P437" s="6" t="n"/>
    </row>
    <row r="438">
      <c r="F438" s="5" t="n"/>
      <c r="O438" s="6" t="n"/>
      <c r="P438" s="6" t="n"/>
    </row>
    <row r="439">
      <c r="F439" s="5" t="n"/>
      <c r="O439" s="6" t="n"/>
      <c r="P439" s="6" t="n"/>
    </row>
    <row r="440">
      <c r="F440" s="5" t="n"/>
      <c r="O440" s="6" t="n"/>
      <c r="P440" s="6" t="n"/>
    </row>
    <row r="441">
      <c r="F441" s="5" t="n"/>
      <c r="O441" s="6" t="n"/>
      <c r="P441" s="6" t="n"/>
    </row>
    <row r="442">
      <c r="F442" s="5" t="n"/>
      <c r="O442" s="6" t="n"/>
      <c r="P442" s="6" t="n"/>
    </row>
    <row r="443">
      <c r="F443" s="5" t="n"/>
      <c r="O443" s="6" t="n"/>
      <c r="P443" s="6" t="n"/>
    </row>
    <row r="444">
      <c r="F444" s="5" t="n"/>
      <c r="O444" s="6" t="n"/>
      <c r="P444" s="6" t="n"/>
    </row>
    <row r="445">
      <c r="F445" s="5" t="n"/>
      <c r="O445" s="6" t="n"/>
      <c r="P445" s="6" t="n"/>
    </row>
    <row r="446">
      <c r="F446" s="5" t="n"/>
      <c r="O446" s="6" t="n"/>
      <c r="P446" s="6" t="n"/>
    </row>
    <row r="447">
      <c r="F447" s="5" t="n"/>
      <c r="O447" s="6" t="n"/>
      <c r="P447" s="6" t="n"/>
    </row>
    <row r="448">
      <c r="F448" s="5" t="n"/>
      <c r="O448" s="6" t="n"/>
      <c r="P448" s="6" t="n"/>
    </row>
    <row r="449">
      <c r="F449" s="5" t="n"/>
      <c r="O449" s="6" t="n"/>
      <c r="P449" s="6" t="n"/>
    </row>
    <row r="450">
      <c r="F450" s="5" t="n"/>
      <c r="O450" s="6" t="n"/>
      <c r="P450" s="6" t="n"/>
    </row>
    <row r="451">
      <c r="F451" s="5" t="n"/>
      <c r="O451" s="6" t="n"/>
      <c r="P451" s="6" t="n"/>
    </row>
    <row r="452">
      <c r="F452" s="5" t="n"/>
      <c r="O452" s="6" t="n"/>
      <c r="P452" s="6" t="n"/>
    </row>
    <row r="453">
      <c r="F453" s="5" t="n"/>
      <c r="O453" s="6" t="n"/>
      <c r="P453" s="6" t="n"/>
    </row>
    <row r="454">
      <c r="F454" s="5" t="n"/>
      <c r="O454" s="6" t="n"/>
      <c r="P454" s="6" t="n"/>
    </row>
    <row r="455">
      <c r="F455" s="5" t="n"/>
      <c r="O455" s="6" t="n"/>
      <c r="P455" s="6" t="n"/>
    </row>
    <row r="456">
      <c r="F456" s="5" t="n"/>
      <c r="O456" s="6" t="n"/>
      <c r="P456" s="6" t="n"/>
    </row>
    <row r="457">
      <c r="F457" s="5" t="n"/>
      <c r="O457" s="6" t="n"/>
      <c r="P457" s="6" t="n"/>
    </row>
    <row r="458">
      <c r="F458" s="5" t="n"/>
      <c r="O458" s="6" t="n"/>
      <c r="P458" s="6" t="n"/>
    </row>
    <row r="459">
      <c r="F459" s="5" t="n"/>
      <c r="O459" s="6" t="n"/>
      <c r="P459" s="6" t="n"/>
    </row>
    <row r="460">
      <c r="F460" s="5" t="n"/>
      <c r="O460" s="6" t="n"/>
      <c r="P460" s="6" t="n"/>
    </row>
    <row r="461">
      <c r="F461" s="5" t="n"/>
      <c r="O461" s="6" t="n"/>
      <c r="P461" s="6" t="n"/>
    </row>
    <row r="462">
      <c r="F462" s="5" t="n"/>
      <c r="O462" s="6" t="n"/>
      <c r="P462" s="6" t="n"/>
    </row>
    <row r="463">
      <c r="F463" s="5" t="n"/>
      <c r="O463" s="6" t="n"/>
      <c r="P463" s="6" t="n"/>
    </row>
    <row r="464">
      <c r="F464" s="5" t="n"/>
      <c r="O464" s="6" t="n"/>
      <c r="P464" s="6" t="n"/>
    </row>
    <row r="465">
      <c r="F465" s="5" t="n"/>
      <c r="O465" s="6" t="n"/>
      <c r="P465" s="6" t="n"/>
    </row>
    <row r="466">
      <c r="F466" s="5" t="n"/>
      <c r="O466" s="6" t="n"/>
      <c r="P466" s="6" t="n"/>
    </row>
    <row r="467">
      <c r="F467" s="5" t="n"/>
      <c r="O467" s="6" t="n"/>
      <c r="P467" s="6" t="n"/>
    </row>
    <row r="468">
      <c r="F468" s="5" t="n"/>
      <c r="O468" s="6" t="n"/>
      <c r="P468" s="6" t="n"/>
    </row>
    <row r="469">
      <c r="F469" s="5" t="n"/>
      <c r="O469" s="6" t="n"/>
      <c r="P469" s="6" t="n"/>
    </row>
    <row r="470">
      <c r="F470" s="5" t="n"/>
      <c r="O470" s="6" t="n"/>
      <c r="P470" s="6" t="n"/>
    </row>
    <row r="471">
      <c r="F471" s="5" t="n"/>
      <c r="O471" s="6" t="n"/>
      <c r="P471" s="6" t="n"/>
    </row>
    <row r="472">
      <c r="F472" s="5" t="n"/>
      <c r="O472" s="6" t="n"/>
      <c r="P472" s="6" t="n"/>
    </row>
    <row r="473">
      <c r="F473" s="5" t="n"/>
      <c r="O473" s="6" t="n"/>
      <c r="P473" s="6" t="n"/>
    </row>
    <row r="474">
      <c r="F474" s="5" t="n"/>
      <c r="O474" s="6" t="n"/>
      <c r="P474" s="6" t="n"/>
    </row>
    <row r="475">
      <c r="F475" s="5" t="n"/>
      <c r="O475" s="6" t="n"/>
      <c r="P475" s="6" t="n"/>
    </row>
    <row r="476">
      <c r="F476" s="5" t="n"/>
      <c r="O476" s="6" t="n"/>
      <c r="P476" s="6" t="n"/>
    </row>
    <row r="477">
      <c r="F477" s="5" t="n"/>
      <c r="O477" s="6" t="n"/>
      <c r="P477" s="6" t="n"/>
    </row>
    <row r="478">
      <c r="F478" s="5" t="n"/>
      <c r="O478" s="6" t="n"/>
      <c r="P478" s="6" t="n"/>
    </row>
    <row r="479">
      <c r="F479" s="5" t="n"/>
      <c r="O479" s="6" t="n"/>
      <c r="P479" s="6" t="n"/>
    </row>
    <row r="480">
      <c r="F480" s="5" t="n"/>
      <c r="O480" s="6" t="n"/>
      <c r="P480" s="6" t="n"/>
    </row>
    <row r="481">
      <c r="F481" s="5" t="n"/>
      <c r="O481" s="6" t="n"/>
      <c r="P481" s="6" t="n"/>
    </row>
    <row r="482">
      <c r="F482" s="5" t="n"/>
      <c r="O482" s="6" t="n"/>
      <c r="P482" s="6" t="n"/>
    </row>
    <row r="483">
      <c r="F483" s="5" t="n"/>
      <c r="O483" s="6" t="n"/>
      <c r="P483" s="6" t="n"/>
    </row>
    <row r="484">
      <c r="F484" s="5" t="n"/>
      <c r="O484" s="6" t="n"/>
      <c r="P484" s="6" t="n"/>
    </row>
    <row r="485">
      <c r="F485" s="5" t="n"/>
      <c r="O485" s="6" t="n"/>
      <c r="P485" s="6" t="n"/>
    </row>
    <row r="486">
      <c r="F486" s="5" t="n"/>
      <c r="O486" s="6" t="n"/>
      <c r="P486" s="6" t="n"/>
    </row>
    <row r="487">
      <c r="F487" s="5" t="n"/>
      <c r="O487" s="6" t="n"/>
      <c r="P487" s="6" t="n"/>
    </row>
    <row r="488">
      <c r="F488" s="5" t="n"/>
      <c r="O488" s="6" t="n"/>
      <c r="P488" s="6" t="n"/>
    </row>
    <row r="489">
      <c r="F489" s="5" t="n"/>
      <c r="O489" s="6" t="n"/>
      <c r="P489" s="6" t="n"/>
    </row>
    <row r="490">
      <c r="F490" s="5" t="n"/>
      <c r="O490" s="6" t="n"/>
      <c r="P490" s="6" t="n"/>
    </row>
    <row r="491">
      <c r="F491" s="5" t="n"/>
      <c r="O491" s="6" t="n"/>
      <c r="P491" s="6" t="n"/>
    </row>
    <row r="492">
      <c r="F492" s="5" t="n"/>
      <c r="O492" s="6" t="n"/>
      <c r="P492" s="6" t="n"/>
    </row>
    <row r="493">
      <c r="F493" s="5" t="n"/>
      <c r="O493" s="6" t="n"/>
      <c r="P493" s="6" t="n"/>
    </row>
    <row r="494">
      <c r="F494" s="5" t="n"/>
      <c r="O494" s="6" t="n"/>
      <c r="P494" s="6" t="n"/>
    </row>
    <row r="495">
      <c r="F495" s="5" t="n"/>
      <c r="O495" s="6" t="n"/>
      <c r="P495" s="6" t="n"/>
    </row>
    <row r="496">
      <c r="F496" s="5" t="n"/>
      <c r="O496" s="6" t="n"/>
      <c r="P496" s="6" t="n"/>
    </row>
    <row r="497">
      <c r="F497" s="5" t="n"/>
      <c r="O497" s="6" t="n"/>
      <c r="P497" s="6" t="n"/>
    </row>
    <row r="498">
      <c r="F498" s="5" t="n"/>
      <c r="O498" s="6" t="n"/>
      <c r="P498" s="6" t="n"/>
    </row>
    <row r="499">
      <c r="F499" s="5" t="n"/>
      <c r="O499" s="6" t="n"/>
      <c r="P499" s="6" t="n"/>
    </row>
    <row r="500">
      <c r="F500" s="5" t="n"/>
      <c r="O500" s="6" t="n"/>
      <c r="P500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7" customWidth="1" min="5" max="5"/>
    <col width="13" customWidth="1" min="6" max="6"/>
    <col width="12" customWidth="1" min="7" max="7"/>
    <col width="14" customWidth="1" min="8" max="8"/>
    <col width="10" customWidth="1" min="9" max="9"/>
    <col width="15" customWidth="1" min="10" max="10"/>
    <col width="13" customWidth="1" min="11" max="11"/>
    <col width="19" customWidth="1" min="12" max="12"/>
  </cols>
  <sheetData>
    <row r="1" ht="22" customHeight="1">
      <c r="A1" s="4" t="inlineStr">
        <is>
          <t>GoalID</t>
        </is>
      </c>
      <c r="B1" s="4" t="inlineStr">
        <is>
          <t>HouseholdID</t>
        </is>
      </c>
      <c r="C1" s="4" t="inlineStr">
        <is>
          <t>ClientID</t>
        </is>
      </c>
      <c r="D1" s="4" t="inlineStr">
        <is>
          <t>GoalCategory</t>
        </is>
      </c>
      <c r="E1" s="4" t="inlineStr">
        <is>
          <t>GoalDescription</t>
        </is>
      </c>
      <c r="F1" s="4" t="inlineStr">
        <is>
          <t>TimeHorizon</t>
        </is>
      </c>
      <c r="G1" s="4" t="inlineStr">
        <is>
          <t>TargetDate</t>
        </is>
      </c>
      <c r="H1" s="4" t="inlineStr">
        <is>
          <t>TargetAmount</t>
        </is>
      </c>
      <c r="I1" s="4" t="inlineStr">
        <is>
          <t>Currency</t>
        </is>
      </c>
      <c r="J1" s="4" t="inlineStr">
        <is>
          <t>Priority(1-5)</t>
        </is>
      </c>
      <c r="K1" s="4" t="inlineStr">
        <is>
          <t>Constraints</t>
        </is>
      </c>
      <c r="L1" s="4" t="inlineStr">
        <is>
          <t>SuccessDefinition</t>
        </is>
      </c>
    </row>
    <row r="2">
      <c r="G2" s="5" t="n"/>
    </row>
    <row r="3">
      <c r="G3" s="5" t="n"/>
    </row>
    <row r="4">
      <c r="G4" s="5" t="n"/>
    </row>
    <row r="5">
      <c r="G5" s="5" t="n"/>
    </row>
    <row r="6">
      <c r="G6" s="5" t="n"/>
    </row>
    <row r="7">
      <c r="G7" s="5" t="n"/>
    </row>
    <row r="8">
      <c r="G8" s="5" t="n"/>
    </row>
    <row r="9">
      <c r="G9" s="5" t="n"/>
    </row>
    <row r="10">
      <c r="G10" s="5" t="n"/>
    </row>
    <row r="11">
      <c r="G11" s="5" t="n"/>
    </row>
    <row r="12">
      <c r="G12" s="5" t="n"/>
    </row>
    <row r="13">
      <c r="G13" s="5" t="n"/>
    </row>
    <row r="14">
      <c r="G14" s="5" t="n"/>
    </row>
    <row r="15">
      <c r="G15" s="5" t="n"/>
    </row>
    <row r="16">
      <c r="G16" s="5" t="n"/>
    </row>
    <row r="17">
      <c r="G17" s="5" t="n"/>
    </row>
    <row r="18">
      <c r="G18" s="5" t="n"/>
    </row>
    <row r="19">
      <c r="G19" s="5" t="n"/>
    </row>
    <row r="20">
      <c r="G20" s="5" t="n"/>
    </row>
    <row r="21">
      <c r="G21" s="5" t="n"/>
    </row>
    <row r="22">
      <c r="G22" s="5" t="n"/>
    </row>
    <row r="23">
      <c r="G23" s="5" t="n"/>
    </row>
    <row r="24">
      <c r="G24" s="5" t="n"/>
    </row>
    <row r="25">
      <c r="G25" s="5" t="n"/>
    </row>
    <row r="26">
      <c r="G26" s="5" t="n"/>
    </row>
    <row r="27">
      <c r="G27" s="5" t="n"/>
    </row>
    <row r="28">
      <c r="G28" s="5" t="n"/>
    </row>
    <row r="29">
      <c r="G29" s="5" t="n"/>
    </row>
    <row r="30">
      <c r="G30" s="5" t="n"/>
    </row>
    <row r="31">
      <c r="G31" s="5" t="n"/>
    </row>
    <row r="32">
      <c r="G32" s="5" t="n"/>
    </row>
    <row r="33">
      <c r="G33" s="5" t="n"/>
    </row>
    <row r="34">
      <c r="G34" s="5" t="n"/>
    </row>
    <row r="35">
      <c r="G35" s="5" t="n"/>
    </row>
    <row r="36">
      <c r="G36" s="5" t="n"/>
    </row>
    <row r="37">
      <c r="G37" s="5" t="n"/>
    </row>
    <row r="38">
      <c r="G38" s="5" t="n"/>
    </row>
    <row r="39">
      <c r="G39" s="5" t="n"/>
    </row>
    <row r="40">
      <c r="G40" s="5" t="n"/>
    </row>
    <row r="41">
      <c r="G41" s="5" t="n"/>
    </row>
    <row r="42">
      <c r="G42" s="5" t="n"/>
    </row>
    <row r="43">
      <c r="G43" s="5" t="n"/>
    </row>
    <row r="44">
      <c r="G44" s="5" t="n"/>
    </row>
    <row r="45">
      <c r="G45" s="5" t="n"/>
    </row>
    <row r="46">
      <c r="G46" s="5" t="n"/>
    </row>
    <row r="47">
      <c r="G47" s="5" t="n"/>
    </row>
    <row r="48">
      <c r="G48" s="5" t="n"/>
    </row>
    <row r="49">
      <c r="G49" s="5" t="n"/>
    </row>
    <row r="50">
      <c r="G50" s="5" t="n"/>
    </row>
    <row r="51">
      <c r="G51" s="5" t="n"/>
    </row>
    <row r="52">
      <c r="G52" s="5" t="n"/>
    </row>
    <row r="53">
      <c r="G53" s="5" t="n"/>
    </row>
    <row r="54">
      <c r="G54" s="5" t="n"/>
    </row>
    <row r="55">
      <c r="G55" s="5" t="n"/>
    </row>
    <row r="56">
      <c r="G56" s="5" t="n"/>
    </row>
    <row r="57">
      <c r="G57" s="5" t="n"/>
    </row>
    <row r="58">
      <c r="G58" s="5" t="n"/>
    </row>
    <row r="59">
      <c r="G59" s="5" t="n"/>
    </row>
    <row r="60">
      <c r="G60" s="5" t="n"/>
    </row>
    <row r="61">
      <c r="G61" s="5" t="n"/>
    </row>
    <row r="62">
      <c r="G62" s="5" t="n"/>
    </row>
    <row r="63">
      <c r="G63" s="5" t="n"/>
    </row>
    <row r="64">
      <c r="G64" s="5" t="n"/>
    </row>
    <row r="65">
      <c r="G65" s="5" t="n"/>
    </row>
    <row r="66">
      <c r="G66" s="5" t="n"/>
    </row>
    <row r="67">
      <c r="G67" s="5" t="n"/>
    </row>
    <row r="68">
      <c r="G68" s="5" t="n"/>
    </row>
    <row r="69">
      <c r="G69" s="5" t="n"/>
    </row>
    <row r="70">
      <c r="G70" s="5" t="n"/>
    </row>
    <row r="71">
      <c r="G71" s="5" t="n"/>
    </row>
    <row r="72">
      <c r="G72" s="5" t="n"/>
    </row>
    <row r="73">
      <c r="G73" s="5" t="n"/>
    </row>
    <row r="74">
      <c r="G74" s="5" t="n"/>
    </row>
    <row r="75">
      <c r="G75" s="5" t="n"/>
    </row>
    <row r="76">
      <c r="G76" s="5" t="n"/>
    </row>
    <row r="77">
      <c r="G77" s="5" t="n"/>
    </row>
    <row r="78">
      <c r="G78" s="5" t="n"/>
    </row>
    <row r="79">
      <c r="G79" s="5" t="n"/>
    </row>
    <row r="80">
      <c r="G80" s="5" t="n"/>
    </row>
    <row r="81">
      <c r="G81" s="5" t="n"/>
    </row>
    <row r="82">
      <c r="G82" s="5" t="n"/>
    </row>
    <row r="83">
      <c r="G83" s="5" t="n"/>
    </row>
    <row r="84">
      <c r="G84" s="5" t="n"/>
    </row>
    <row r="85">
      <c r="G85" s="5" t="n"/>
    </row>
    <row r="86">
      <c r="G86" s="5" t="n"/>
    </row>
    <row r="87">
      <c r="G87" s="5" t="n"/>
    </row>
    <row r="88">
      <c r="G88" s="5" t="n"/>
    </row>
    <row r="89">
      <c r="G89" s="5" t="n"/>
    </row>
    <row r="90">
      <c r="G90" s="5" t="n"/>
    </row>
    <row r="91">
      <c r="G91" s="5" t="n"/>
    </row>
    <row r="92">
      <c r="G92" s="5" t="n"/>
    </row>
    <row r="93">
      <c r="G93" s="5" t="n"/>
    </row>
    <row r="94">
      <c r="G94" s="5" t="n"/>
    </row>
    <row r="95">
      <c r="G95" s="5" t="n"/>
    </row>
    <row r="96">
      <c r="G96" s="5" t="n"/>
    </row>
    <row r="97">
      <c r="G97" s="5" t="n"/>
    </row>
    <row r="98">
      <c r="G98" s="5" t="n"/>
    </row>
    <row r="99">
      <c r="G99" s="5" t="n"/>
    </row>
    <row r="100">
      <c r="G100" s="5" t="n"/>
    </row>
    <row r="101">
      <c r="G101" s="5" t="n"/>
    </row>
    <row r="102">
      <c r="G102" s="5" t="n"/>
    </row>
    <row r="103">
      <c r="G103" s="5" t="n"/>
    </row>
    <row r="104">
      <c r="G104" s="5" t="n"/>
    </row>
    <row r="105">
      <c r="G105" s="5" t="n"/>
    </row>
    <row r="106">
      <c r="G106" s="5" t="n"/>
    </row>
    <row r="107">
      <c r="G107" s="5" t="n"/>
    </row>
    <row r="108">
      <c r="G108" s="5" t="n"/>
    </row>
    <row r="109">
      <c r="G109" s="5" t="n"/>
    </row>
    <row r="110">
      <c r="G110" s="5" t="n"/>
    </row>
    <row r="111">
      <c r="G111" s="5" t="n"/>
    </row>
    <row r="112">
      <c r="G112" s="5" t="n"/>
    </row>
    <row r="113">
      <c r="G113" s="5" t="n"/>
    </row>
    <row r="114">
      <c r="G114" s="5" t="n"/>
    </row>
    <row r="115">
      <c r="G115" s="5" t="n"/>
    </row>
    <row r="116">
      <c r="G116" s="5" t="n"/>
    </row>
    <row r="117">
      <c r="G117" s="5" t="n"/>
    </row>
    <row r="118">
      <c r="G118" s="5" t="n"/>
    </row>
    <row r="119">
      <c r="G119" s="5" t="n"/>
    </row>
    <row r="120">
      <c r="G120" s="5" t="n"/>
    </row>
    <row r="121">
      <c r="G121" s="5" t="n"/>
    </row>
    <row r="122">
      <c r="G122" s="5" t="n"/>
    </row>
    <row r="123">
      <c r="G123" s="5" t="n"/>
    </row>
    <row r="124">
      <c r="G124" s="5" t="n"/>
    </row>
    <row r="125">
      <c r="G125" s="5" t="n"/>
    </row>
    <row r="126">
      <c r="G126" s="5" t="n"/>
    </row>
    <row r="127">
      <c r="G127" s="5" t="n"/>
    </row>
    <row r="128">
      <c r="G128" s="5" t="n"/>
    </row>
    <row r="129">
      <c r="G129" s="5" t="n"/>
    </row>
    <row r="130">
      <c r="G130" s="5" t="n"/>
    </row>
    <row r="131">
      <c r="G131" s="5" t="n"/>
    </row>
    <row r="132">
      <c r="G132" s="5" t="n"/>
    </row>
    <row r="133">
      <c r="G133" s="5" t="n"/>
    </row>
    <row r="134">
      <c r="G134" s="5" t="n"/>
    </row>
    <row r="135">
      <c r="G135" s="5" t="n"/>
    </row>
    <row r="136">
      <c r="G136" s="5" t="n"/>
    </row>
    <row r="137">
      <c r="G137" s="5" t="n"/>
    </row>
    <row r="138">
      <c r="G138" s="5" t="n"/>
    </row>
    <row r="139">
      <c r="G139" s="5" t="n"/>
    </row>
    <row r="140">
      <c r="G140" s="5" t="n"/>
    </row>
    <row r="141">
      <c r="G141" s="5" t="n"/>
    </row>
    <row r="142">
      <c r="G142" s="5" t="n"/>
    </row>
    <row r="143">
      <c r="G143" s="5" t="n"/>
    </row>
    <row r="144">
      <c r="G144" s="5" t="n"/>
    </row>
    <row r="145">
      <c r="G145" s="5" t="n"/>
    </row>
    <row r="146">
      <c r="G146" s="5" t="n"/>
    </row>
    <row r="147">
      <c r="G147" s="5" t="n"/>
    </row>
    <row r="148">
      <c r="G148" s="5" t="n"/>
    </row>
    <row r="149">
      <c r="G149" s="5" t="n"/>
    </row>
    <row r="150">
      <c r="G150" s="5" t="n"/>
    </row>
    <row r="151">
      <c r="G151" s="5" t="n"/>
    </row>
    <row r="152">
      <c r="G152" s="5" t="n"/>
    </row>
    <row r="153">
      <c r="G153" s="5" t="n"/>
    </row>
    <row r="154">
      <c r="G154" s="5" t="n"/>
    </row>
    <row r="155">
      <c r="G155" s="5" t="n"/>
    </row>
    <row r="156">
      <c r="G156" s="5" t="n"/>
    </row>
    <row r="157">
      <c r="G157" s="5" t="n"/>
    </row>
    <row r="158">
      <c r="G158" s="5" t="n"/>
    </row>
    <row r="159">
      <c r="G159" s="5" t="n"/>
    </row>
    <row r="160">
      <c r="G160" s="5" t="n"/>
    </row>
    <row r="161">
      <c r="G161" s="5" t="n"/>
    </row>
    <row r="162">
      <c r="G162" s="5" t="n"/>
    </row>
    <row r="163">
      <c r="G163" s="5" t="n"/>
    </row>
    <row r="164">
      <c r="G164" s="5" t="n"/>
    </row>
    <row r="165">
      <c r="G165" s="5" t="n"/>
    </row>
    <row r="166">
      <c r="G166" s="5" t="n"/>
    </row>
    <row r="167">
      <c r="G167" s="5" t="n"/>
    </row>
    <row r="168">
      <c r="G168" s="5" t="n"/>
    </row>
    <row r="169">
      <c r="G169" s="5" t="n"/>
    </row>
    <row r="170">
      <c r="G170" s="5" t="n"/>
    </row>
    <row r="171">
      <c r="G171" s="5" t="n"/>
    </row>
    <row r="172">
      <c r="G172" s="5" t="n"/>
    </row>
    <row r="173">
      <c r="G173" s="5" t="n"/>
    </row>
    <row r="174">
      <c r="G174" s="5" t="n"/>
    </row>
    <row r="175">
      <c r="G175" s="5" t="n"/>
    </row>
    <row r="176">
      <c r="G176" s="5" t="n"/>
    </row>
    <row r="177">
      <c r="G177" s="5" t="n"/>
    </row>
    <row r="178">
      <c r="G178" s="5" t="n"/>
    </row>
    <row r="179">
      <c r="G179" s="5" t="n"/>
    </row>
    <row r="180">
      <c r="G180" s="5" t="n"/>
    </row>
    <row r="181">
      <c r="G181" s="5" t="n"/>
    </row>
    <row r="182">
      <c r="G182" s="5" t="n"/>
    </row>
    <row r="183">
      <c r="G183" s="5" t="n"/>
    </row>
    <row r="184">
      <c r="G184" s="5" t="n"/>
    </row>
    <row r="185">
      <c r="G185" s="5" t="n"/>
    </row>
    <row r="186">
      <c r="G186" s="5" t="n"/>
    </row>
    <row r="187">
      <c r="G187" s="5" t="n"/>
    </row>
    <row r="188">
      <c r="G188" s="5" t="n"/>
    </row>
    <row r="189">
      <c r="G189" s="5" t="n"/>
    </row>
    <row r="190">
      <c r="G190" s="5" t="n"/>
    </row>
    <row r="191">
      <c r="G191" s="5" t="n"/>
    </row>
    <row r="192">
      <c r="G192" s="5" t="n"/>
    </row>
    <row r="193">
      <c r="G193" s="5" t="n"/>
    </row>
    <row r="194">
      <c r="G194" s="5" t="n"/>
    </row>
    <row r="195">
      <c r="G195" s="5" t="n"/>
    </row>
    <row r="196">
      <c r="G196" s="5" t="n"/>
    </row>
    <row r="197">
      <c r="G197" s="5" t="n"/>
    </row>
    <row r="198">
      <c r="G198" s="5" t="n"/>
    </row>
    <row r="199">
      <c r="G199" s="5" t="n"/>
    </row>
    <row r="200">
      <c r="G200" s="5" t="n"/>
    </row>
    <row r="201">
      <c r="G201" s="5" t="n"/>
    </row>
    <row r="202">
      <c r="G202" s="5" t="n"/>
    </row>
    <row r="203">
      <c r="G203" s="5" t="n"/>
    </row>
    <row r="204">
      <c r="G204" s="5" t="n"/>
    </row>
    <row r="205">
      <c r="G205" s="5" t="n"/>
    </row>
    <row r="206">
      <c r="G206" s="5" t="n"/>
    </row>
    <row r="207">
      <c r="G207" s="5" t="n"/>
    </row>
    <row r="208">
      <c r="G208" s="5" t="n"/>
    </row>
    <row r="209">
      <c r="G209" s="5" t="n"/>
    </row>
    <row r="210">
      <c r="G210" s="5" t="n"/>
    </row>
    <row r="211">
      <c r="G211" s="5" t="n"/>
    </row>
    <row r="212">
      <c r="G212" s="5" t="n"/>
    </row>
    <row r="213">
      <c r="G213" s="5" t="n"/>
    </row>
    <row r="214">
      <c r="G214" s="5" t="n"/>
    </row>
    <row r="215">
      <c r="G215" s="5" t="n"/>
    </row>
    <row r="216">
      <c r="G216" s="5" t="n"/>
    </row>
    <row r="217">
      <c r="G217" s="5" t="n"/>
    </row>
    <row r="218">
      <c r="G218" s="5" t="n"/>
    </row>
    <row r="219">
      <c r="G219" s="5" t="n"/>
    </row>
    <row r="220">
      <c r="G220" s="5" t="n"/>
    </row>
    <row r="221">
      <c r="G221" s="5" t="n"/>
    </row>
    <row r="222">
      <c r="G222" s="5" t="n"/>
    </row>
    <row r="223">
      <c r="G223" s="5" t="n"/>
    </row>
    <row r="224">
      <c r="G224" s="5" t="n"/>
    </row>
    <row r="225">
      <c r="G225" s="5" t="n"/>
    </row>
    <row r="226">
      <c r="G226" s="5" t="n"/>
    </row>
    <row r="227">
      <c r="G227" s="5" t="n"/>
    </row>
    <row r="228">
      <c r="G228" s="5" t="n"/>
    </row>
    <row r="229">
      <c r="G229" s="5" t="n"/>
    </row>
    <row r="230">
      <c r="G230" s="5" t="n"/>
    </row>
    <row r="231">
      <c r="G231" s="5" t="n"/>
    </row>
    <row r="232">
      <c r="G232" s="5" t="n"/>
    </row>
    <row r="233">
      <c r="G233" s="5" t="n"/>
    </row>
    <row r="234">
      <c r="G234" s="5" t="n"/>
    </row>
    <row r="235">
      <c r="G235" s="5" t="n"/>
    </row>
    <row r="236">
      <c r="G236" s="5" t="n"/>
    </row>
    <row r="237">
      <c r="G237" s="5" t="n"/>
    </row>
    <row r="238">
      <c r="G238" s="5" t="n"/>
    </row>
    <row r="239">
      <c r="G239" s="5" t="n"/>
    </row>
    <row r="240">
      <c r="G240" s="5" t="n"/>
    </row>
    <row r="241">
      <c r="G241" s="5" t="n"/>
    </row>
    <row r="242">
      <c r="G242" s="5" t="n"/>
    </row>
    <row r="243">
      <c r="G243" s="5" t="n"/>
    </row>
    <row r="244">
      <c r="G244" s="5" t="n"/>
    </row>
    <row r="245">
      <c r="G245" s="5" t="n"/>
    </row>
    <row r="246">
      <c r="G246" s="5" t="n"/>
    </row>
    <row r="247">
      <c r="G247" s="5" t="n"/>
    </row>
    <row r="248">
      <c r="G248" s="5" t="n"/>
    </row>
    <row r="249">
      <c r="G249" s="5" t="n"/>
    </row>
    <row r="250">
      <c r="G250" s="5" t="n"/>
    </row>
    <row r="251">
      <c r="G251" s="5" t="n"/>
    </row>
    <row r="252">
      <c r="G252" s="5" t="n"/>
    </row>
    <row r="253">
      <c r="G253" s="5" t="n"/>
    </row>
    <row r="254">
      <c r="G254" s="5" t="n"/>
    </row>
    <row r="255">
      <c r="G255" s="5" t="n"/>
    </row>
    <row r="256">
      <c r="G256" s="5" t="n"/>
    </row>
    <row r="257">
      <c r="G257" s="5" t="n"/>
    </row>
    <row r="258">
      <c r="G258" s="5" t="n"/>
    </row>
    <row r="259">
      <c r="G259" s="5" t="n"/>
    </row>
    <row r="260">
      <c r="G260" s="5" t="n"/>
    </row>
    <row r="261">
      <c r="G261" s="5" t="n"/>
    </row>
    <row r="262">
      <c r="G262" s="5" t="n"/>
    </row>
    <row r="263">
      <c r="G263" s="5" t="n"/>
    </row>
    <row r="264">
      <c r="G264" s="5" t="n"/>
    </row>
    <row r="265">
      <c r="G265" s="5" t="n"/>
    </row>
    <row r="266">
      <c r="G266" s="5" t="n"/>
    </row>
    <row r="267">
      <c r="G267" s="5" t="n"/>
    </row>
    <row r="268">
      <c r="G268" s="5" t="n"/>
    </row>
    <row r="269">
      <c r="G269" s="5" t="n"/>
    </row>
    <row r="270">
      <c r="G270" s="5" t="n"/>
    </row>
    <row r="271">
      <c r="G271" s="5" t="n"/>
    </row>
    <row r="272">
      <c r="G272" s="5" t="n"/>
    </row>
    <row r="273">
      <c r="G273" s="5" t="n"/>
    </row>
    <row r="274">
      <c r="G274" s="5" t="n"/>
    </row>
    <row r="275">
      <c r="G275" s="5" t="n"/>
    </row>
    <row r="276">
      <c r="G276" s="5" t="n"/>
    </row>
    <row r="277">
      <c r="G277" s="5" t="n"/>
    </row>
    <row r="278">
      <c r="G278" s="5" t="n"/>
    </row>
    <row r="279">
      <c r="G279" s="5" t="n"/>
    </row>
    <row r="280">
      <c r="G280" s="5" t="n"/>
    </row>
    <row r="281">
      <c r="G281" s="5" t="n"/>
    </row>
    <row r="282">
      <c r="G282" s="5" t="n"/>
    </row>
    <row r="283">
      <c r="G283" s="5" t="n"/>
    </row>
    <row r="284">
      <c r="G284" s="5" t="n"/>
    </row>
    <row r="285">
      <c r="G285" s="5" t="n"/>
    </row>
    <row r="286">
      <c r="G286" s="5" t="n"/>
    </row>
    <row r="287">
      <c r="G287" s="5" t="n"/>
    </row>
    <row r="288">
      <c r="G288" s="5" t="n"/>
    </row>
    <row r="289">
      <c r="G289" s="5" t="n"/>
    </row>
    <row r="290">
      <c r="G290" s="5" t="n"/>
    </row>
    <row r="291">
      <c r="G291" s="5" t="n"/>
    </row>
    <row r="292">
      <c r="G292" s="5" t="n"/>
    </row>
    <row r="293">
      <c r="G293" s="5" t="n"/>
    </row>
    <row r="294">
      <c r="G294" s="5" t="n"/>
    </row>
    <row r="295">
      <c r="G295" s="5" t="n"/>
    </row>
    <row r="296">
      <c r="G296" s="5" t="n"/>
    </row>
    <row r="297">
      <c r="G297" s="5" t="n"/>
    </row>
    <row r="298">
      <c r="G298" s="5" t="n"/>
    </row>
    <row r="299">
      <c r="G299" s="5" t="n"/>
    </row>
    <row r="300">
      <c r="G300" s="5" t="n"/>
    </row>
    <row r="301">
      <c r="G301" s="5" t="n"/>
    </row>
    <row r="302">
      <c r="G302" s="5" t="n"/>
    </row>
    <row r="303">
      <c r="G303" s="5" t="n"/>
    </row>
    <row r="304">
      <c r="G304" s="5" t="n"/>
    </row>
    <row r="305">
      <c r="G305" s="5" t="n"/>
    </row>
    <row r="306">
      <c r="G306" s="5" t="n"/>
    </row>
    <row r="307">
      <c r="G307" s="5" t="n"/>
    </row>
    <row r="308">
      <c r="G308" s="5" t="n"/>
    </row>
    <row r="309">
      <c r="G309" s="5" t="n"/>
    </row>
    <row r="310">
      <c r="G310" s="5" t="n"/>
    </row>
    <row r="311">
      <c r="G311" s="5" t="n"/>
    </row>
    <row r="312">
      <c r="G312" s="5" t="n"/>
    </row>
    <row r="313">
      <c r="G313" s="5" t="n"/>
    </row>
    <row r="314">
      <c r="G314" s="5" t="n"/>
    </row>
    <row r="315">
      <c r="G315" s="5" t="n"/>
    </row>
    <row r="316">
      <c r="G316" s="5" t="n"/>
    </row>
    <row r="317">
      <c r="G317" s="5" t="n"/>
    </row>
    <row r="318">
      <c r="G318" s="5" t="n"/>
    </row>
    <row r="319">
      <c r="G319" s="5" t="n"/>
    </row>
    <row r="320">
      <c r="G320" s="5" t="n"/>
    </row>
    <row r="321">
      <c r="G321" s="5" t="n"/>
    </row>
    <row r="322">
      <c r="G322" s="5" t="n"/>
    </row>
    <row r="323">
      <c r="G323" s="5" t="n"/>
    </row>
    <row r="324">
      <c r="G324" s="5" t="n"/>
    </row>
    <row r="325">
      <c r="G325" s="5" t="n"/>
    </row>
    <row r="326">
      <c r="G326" s="5" t="n"/>
    </row>
    <row r="327">
      <c r="G327" s="5" t="n"/>
    </row>
    <row r="328">
      <c r="G328" s="5" t="n"/>
    </row>
    <row r="329">
      <c r="G329" s="5" t="n"/>
    </row>
    <row r="330">
      <c r="G330" s="5" t="n"/>
    </row>
    <row r="331">
      <c r="G331" s="5" t="n"/>
    </row>
    <row r="332">
      <c r="G332" s="5" t="n"/>
    </row>
    <row r="333">
      <c r="G333" s="5" t="n"/>
    </row>
    <row r="334">
      <c r="G334" s="5" t="n"/>
    </row>
    <row r="335">
      <c r="G335" s="5" t="n"/>
    </row>
    <row r="336">
      <c r="G336" s="5" t="n"/>
    </row>
    <row r="337">
      <c r="G337" s="5" t="n"/>
    </row>
    <row r="338">
      <c r="G338" s="5" t="n"/>
    </row>
    <row r="339">
      <c r="G339" s="5" t="n"/>
    </row>
    <row r="340">
      <c r="G340" s="5" t="n"/>
    </row>
    <row r="341">
      <c r="G341" s="5" t="n"/>
    </row>
    <row r="342">
      <c r="G342" s="5" t="n"/>
    </row>
    <row r="343">
      <c r="G343" s="5" t="n"/>
    </row>
    <row r="344">
      <c r="G344" s="5" t="n"/>
    </row>
    <row r="345">
      <c r="G345" s="5" t="n"/>
    </row>
    <row r="346">
      <c r="G346" s="5" t="n"/>
    </row>
    <row r="347">
      <c r="G347" s="5" t="n"/>
    </row>
    <row r="348">
      <c r="G348" s="5" t="n"/>
    </row>
    <row r="349">
      <c r="G349" s="5" t="n"/>
    </row>
    <row r="350">
      <c r="G350" s="5" t="n"/>
    </row>
    <row r="351">
      <c r="G351" s="5" t="n"/>
    </row>
    <row r="352">
      <c r="G352" s="5" t="n"/>
    </row>
    <row r="353">
      <c r="G353" s="5" t="n"/>
    </row>
    <row r="354">
      <c r="G354" s="5" t="n"/>
    </row>
    <row r="355">
      <c r="G355" s="5" t="n"/>
    </row>
    <row r="356">
      <c r="G356" s="5" t="n"/>
    </row>
    <row r="357">
      <c r="G357" s="5" t="n"/>
    </row>
    <row r="358">
      <c r="G358" s="5" t="n"/>
    </row>
    <row r="359">
      <c r="G359" s="5" t="n"/>
    </row>
    <row r="360">
      <c r="G360" s="5" t="n"/>
    </row>
    <row r="361">
      <c r="G361" s="5" t="n"/>
    </row>
    <row r="362">
      <c r="G362" s="5" t="n"/>
    </row>
    <row r="363">
      <c r="G363" s="5" t="n"/>
    </row>
    <row r="364">
      <c r="G364" s="5" t="n"/>
    </row>
    <row r="365">
      <c r="G365" s="5" t="n"/>
    </row>
    <row r="366">
      <c r="G366" s="5" t="n"/>
    </row>
    <row r="367">
      <c r="G367" s="5" t="n"/>
    </row>
    <row r="368">
      <c r="G368" s="5" t="n"/>
    </row>
    <row r="369">
      <c r="G369" s="5" t="n"/>
    </row>
    <row r="370">
      <c r="G370" s="5" t="n"/>
    </row>
    <row r="371">
      <c r="G371" s="5" t="n"/>
    </row>
    <row r="372">
      <c r="G372" s="5" t="n"/>
    </row>
    <row r="373">
      <c r="G373" s="5" t="n"/>
    </row>
    <row r="374">
      <c r="G374" s="5" t="n"/>
    </row>
    <row r="375">
      <c r="G375" s="5" t="n"/>
    </row>
    <row r="376">
      <c r="G376" s="5" t="n"/>
    </row>
    <row r="377">
      <c r="G377" s="5" t="n"/>
    </row>
    <row r="378">
      <c r="G378" s="5" t="n"/>
    </row>
    <row r="379">
      <c r="G379" s="5" t="n"/>
    </row>
    <row r="380">
      <c r="G380" s="5" t="n"/>
    </row>
    <row r="381">
      <c r="G381" s="5" t="n"/>
    </row>
    <row r="382">
      <c r="G382" s="5" t="n"/>
    </row>
    <row r="383">
      <c r="G383" s="5" t="n"/>
    </row>
    <row r="384">
      <c r="G384" s="5" t="n"/>
    </row>
    <row r="385">
      <c r="G385" s="5" t="n"/>
    </row>
    <row r="386">
      <c r="G386" s="5" t="n"/>
    </row>
    <row r="387">
      <c r="G387" s="5" t="n"/>
    </row>
    <row r="388">
      <c r="G388" s="5" t="n"/>
    </row>
    <row r="389">
      <c r="G389" s="5" t="n"/>
    </row>
    <row r="390">
      <c r="G390" s="5" t="n"/>
    </row>
    <row r="391">
      <c r="G391" s="5" t="n"/>
    </row>
    <row r="392">
      <c r="G392" s="5" t="n"/>
    </row>
    <row r="393">
      <c r="G393" s="5" t="n"/>
    </row>
    <row r="394">
      <c r="G394" s="5" t="n"/>
    </row>
    <row r="395">
      <c r="G395" s="5" t="n"/>
    </row>
    <row r="396">
      <c r="G396" s="5" t="n"/>
    </row>
    <row r="397">
      <c r="G397" s="5" t="n"/>
    </row>
    <row r="398">
      <c r="G398" s="5" t="n"/>
    </row>
    <row r="399">
      <c r="G399" s="5" t="n"/>
    </row>
    <row r="400">
      <c r="G400" s="5" t="n"/>
    </row>
    <row r="401">
      <c r="G401" s="5" t="n"/>
    </row>
    <row r="402">
      <c r="G402" s="5" t="n"/>
    </row>
    <row r="403">
      <c r="G403" s="5" t="n"/>
    </row>
    <row r="404">
      <c r="G404" s="5" t="n"/>
    </row>
    <row r="405">
      <c r="G405" s="5" t="n"/>
    </row>
    <row r="406">
      <c r="G406" s="5" t="n"/>
    </row>
    <row r="407">
      <c r="G407" s="5" t="n"/>
    </row>
    <row r="408">
      <c r="G408" s="5" t="n"/>
    </row>
    <row r="409">
      <c r="G409" s="5" t="n"/>
    </row>
    <row r="410">
      <c r="G410" s="5" t="n"/>
    </row>
    <row r="411">
      <c r="G411" s="5" t="n"/>
    </row>
    <row r="412">
      <c r="G412" s="5" t="n"/>
    </row>
    <row r="413">
      <c r="G413" s="5" t="n"/>
    </row>
    <row r="414">
      <c r="G414" s="5" t="n"/>
    </row>
    <row r="415">
      <c r="G415" s="5" t="n"/>
    </row>
    <row r="416">
      <c r="G416" s="5" t="n"/>
    </row>
    <row r="417">
      <c r="G417" s="5" t="n"/>
    </row>
    <row r="418">
      <c r="G418" s="5" t="n"/>
    </row>
    <row r="419">
      <c r="G419" s="5" t="n"/>
    </row>
    <row r="420">
      <c r="G420" s="5" t="n"/>
    </row>
    <row r="421">
      <c r="G421" s="5" t="n"/>
    </row>
    <row r="422">
      <c r="G422" s="5" t="n"/>
    </row>
    <row r="423">
      <c r="G423" s="5" t="n"/>
    </row>
    <row r="424">
      <c r="G424" s="5" t="n"/>
    </row>
    <row r="425">
      <c r="G425" s="5" t="n"/>
    </row>
    <row r="426">
      <c r="G426" s="5" t="n"/>
    </row>
    <row r="427">
      <c r="G427" s="5" t="n"/>
    </row>
    <row r="428">
      <c r="G428" s="5" t="n"/>
    </row>
    <row r="429">
      <c r="G429" s="5" t="n"/>
    </row>
    <row r="430">
      <c r="G430" s="5" t="n"/>
    </row>
    <row r="431">
      <c r="G431" s="5" t="n"/>
    </row>
    <row r="432">
      <c r="G432" s="5" t="n"/>
    </row>
    <row r="433">
      <c r="G433" s="5" t="n"/>
    </row>
    <row r="434">
      <c r="G434" s="5" t="n"/>
    </row>
    <row r="435">
      <c r="G435" s="5" t="n"/>
    </row>
    <row r="436">
      <c r="G436" s="5" t="n"/>
    </row>
    <row r="437">
      <c r="G437" s="5" t="n"/>
    </row>
    <row r="438">
      <c r="G438" s="5" t="n"/>
    </row>
    <row r="439">
      <c r="G439" s="5" t="n"/>
    </row>
    <row r="440">
      <c r="G440" s="5" t="n"/>
    </row>
    <row r="441">
      <c r="G441" s="5" t="n"/>
    </row>
    <row r="442">
      <c r="G442" s="5" t="n"/>
    </row>
    <row r="443">
      <c r="G443" s="5" t="n"/>
    </row>
    <row r="444">
      <c r="G444" s="5" t="n"/>
    </row>
    <row r="445">
      <c r="G445" s="5" t="n"/>
    </row>
    <row r="446">
      <c r="G446" s="5" t="n"/>
    </row>
    <row r="447">
      <c r="G447" s="5" t="n"/>
    </row>
    <row r="448">
      <c r="G448" s="5" t="n"/>
    </row>
    <row r="449">
      <c r="G449" s="5" t="n"/>
    </row>
    <row r="450">
      <c r="G450" s="5" t="n"/>
    </row>
    <row r="451">
      <c r="G451" s="5" t="n"/>
    </row>
    <row r="452">
      <c r="G452" s="5" t="n"/>
    </row>
    <row r="453">
      <c r="G453" s="5" t="n"/>
    </row>
    <row r="454">
      <c r="G454" s="5" t="n"/>
    </row>
    <row r="455">
      <c r="G455" s="5" t="n"/>
    </row>
    <row r="456">
      <c r="G456" s="5" t="n"/>
    </row>
    <row r="457">
      <c r="G457" s="5" t="n"/>
    </row>
    <row r="458">
      <c r="G458" s="5" t="n"/>
    </row>
    <row r="459">
      <c r="G459" s="5" t="n"/>
    </row>
    <row r="460">
      <c r="G460" s="5" t="n"/>
    </row>
    <row r="461">
      <c r="G461" s="5" t="n"/>
    </row>
    <row r="462">
      <c r="G462" s="5" t="n"/>
    </row>
    <row r="463">
      <c r="G463" s="5" t="n"/>
    </row>
    <row r="464">
      <c r="G464" s="5" t="n"/>
    </row>
    <row r="465">
      <c r="G465" s="5" t="n"/>
    </row>
    <row r="466">
      <c r="G466" s="5" t="n"/>
    </row>
    <row r="467">
      <c r="G467" s="5" t="n"/>
    </row>
    <row r="468">
      <c r="G468" s="5" t="n"/>
    </row>
    <row r="469">
      <c r="G469" s="5" t="n"/>
    </row>
    <row r="470">
      <c r="G470" s="5" t="n"/>
    </row>
    <row r="471">
      <c r="G471" s="5" t="n"/>
    </row>
    <row r="472">
      <c r="G472" s="5" t="n"/>
    </row>
    <row r="473">
      <c r="G473" s="5" t="n"/>
    </row>
    <row r="474">
      <c r="G474" s="5" t="n"/>
    </row>
    <row r="475">
      <c r="G475" s="5" t="n"/>
    </row>
    <row r="476">
      <c r="G476" s="5" t="n"/>
    </row>
    <row r="477">
      <c r="G477" s="5" t="n"/>
    </row>
    <row r="478">
      <c r="G478" s="5" t="n"/>
    </row>
    <row r="479">
      <c r="G479" s="5" t="n"/>
    </row>
    <row r="480">
      <c r="G480" s="5" t="n"/>
    </row>
    <row r="481">
      <c r="G481" s="5" t="n"/>
    </row>
    <row r="482">
      <c r="G482" s="5" t="n"/>
    </row>
    <row r="483">
      <c r="G483" s="5" t="n"/>
    </row>
    <row r="484">
      <c r="G484" s="5" t="n"/>
    </row>
    <row r="485">
      <c r="G485" s="5" t="n"/>
    </row>
    <row r="486">
      <c r="G486" s="5" t="n"/>
    </row>
    <row r="487">
      <c r="G487" s="5" t="n"/>
    </row>
    <row r="488">
      <c r="G488" s="5" t="n"/>
    </row>
    <row r="489">
      <c r="G489" s="5" t="n"/>
    </row>
    <row r="490">
      <c r="G490" s="5" t="n"/>
    </row>
    <row r="491">
      <c r="G491" s="5" t="n"/>
    </row>
    <row r="492">
      <c r="G492" s="5" t="n"/>
    </row>
    <row r="493">
      <c r="G493" s="5" t="n"/>
    </row>
    <row r="494">
      <c r="G494" s="5" t="n"/>
    </row>
    <row r="495">
      <c r="G495" s="5" t="n"/>
    </row>
    <row r="496">
      <c r="G496" s="5" t="n"/>
    </row>
    <row r="497">
      <c r="G497" s="5" t="n"/>
    </row>
    <row r="498">
      <c r="G498" s="5" t="n"/>
    </row>
    <row r="499">
      <c r="G499" s="5" t="n"/>
    </row>
    <row r="500">
      <c r="G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1" customWidth="1" min="8" max="8"/>
    <col width="10" customWidth="1" min="9" max="9"/>
    <col width="12" customWidth="1" min="10" max="10"/>
    <col width="10" customWidth="1" min="11" max="11"/>
  </cols>
  <sheetData>
    <row r="1" ht="22" customHeight="1">
      <c r="A1" s="4" t="inlineStr">
        <is>
          <t>IncomeID</t>
        </is>
      </c>
      <c r="B1" s="4" t="inlineStr">
        <is>
          <t>ClientID</t>
        </is>
      </c>
      <c r="C1" s="4" t="inlineStr">
        <is>
          <t>SourceType</t>
        </is>
      </c>
      <c r="D1" s="4" t="inlineStr">
        <is>
          <t>Amount</t>
        </is>
      </c>
      <c r="E1" s="4" t="inlineStr">
        <is>
          <t>Frequency</t>
        </is>
      </c>
      <c r="F1" s="4" t="inlineStr">
        <is>
          <t>Currency</t>
        </is>
      </c>
      <c r="G1" s="4" t="inlineStr">
        <is>
          <t>IsGuaranteed</t>
        </is>
      </c>
      <c r="H1" s="4" t="inlineStr">
        <is>
          <t>StartDate</t>
        </is>
      </c>
      <c r="I1" s="4" t="inlineStr">
        <is>
          <t>EndDate</t>
        </is>
      </c>
      <c r="J1" s="4" t="inlineStr">
        <is>
          <t>TaxedWhere</t>
        </is>
      </c>
      <c r="K1" s="4" t="inlineStr">
        <is>
          <t>Notes</t>
        </is>
      </c>
    </row>
    <row r="2">
      <c r="D2" s="6" t="n"/>
      <c r="H2" s="5" t="n"/>
      <c r="I2" s="5" t="n"/>
    </row>
    <row r="3">
      <c r="D3" s="6" t="n"/>
      <c r="H3" s="5" t="n"/>
      <c r="I3" s="5" t="n"/>
    </row>
    <row r="4">
      <c r="D4" s="6" t="n"/>
      <c r="H4" s="5" t="n"/>
      <c r="I4" s="5" t="n"/>
    </row>
    <row r="5">
      <c r="D5" s="6" t="n"/>
      <c r="H5" s="5" t="n"/>
      <c r="I5" s="5" t="n"/>
    </row>
    <row r="6">
      <c r="D6" s="6" t="n"/>
      <c r="H6" s="5" t="n"/>
      <c r="I6" s="5" t="n"/>
    </row>
    <row r="7">
      <c r="D7" s="6" t="n"/>
      <c r="H7" s="5" t="n"/>
      <c r="I7" s="5" t="n"/>
    </row>
    <row r="8">
      <c r="D8" s="6" t="n"/>
      <c r="H8" s="5" t="n"/>
      <c r="I8" s="5" t="n"/>
    </row>
    <row r="9">
      <c r="D9" s="6" t="n"/>
      <c r="H9" s="5" t="n"/>
      <c r="I9" s="5" t="n"/>
    </row>
    <row r="10">
      <c r="D10" s="6" t="n"/>
      <c r="H10" s="5" t="n"/>
      <c r="I10" s="5" t="n"/>
    </row>
    <row r="11">
      <c r="D11" s="6" t="n"/>
      <c r="H11" s="5" t="n"/>
      <c r="I11" s="5" t="n"/>
    </row>
    <row r="12">
      <c r="D12" s="6" t="n"/>
      <c r="H12" s="5" t="n"/>
      <c r="I12" s="5" t="n"/>
    </row>
    <row r="13">
      <c r="D13" s="6" t="n"/>
      <c r="H13" s="5" t="n"/>
      <c r="I13" s="5" t="n"/>
    </row>
    <row r="14">
      <c r="D14" s="6" t="n"/>
      <c r="H14" s="5" t="n"/>
      <c r="I14" s="5" t="n"/>
    </row>
    <row r="15">
      <c r="D15" s="6" t="n"/>
      <c r="H15" s="5" t="n"/>
      <c r="I15" s="5" t="n"/>
    </row>
    <row r="16">
      <c r="D16" s="6" t="n"/>
      <c r="H16" s="5" t="n"/>
      <c r="I16" s="5" t="n"/>
    </row>
    <row r="17">
      <c r="D17" s="6" t="n"/>
      <c r="H17" s="5" t="n"/>
      <c r="I17" s="5" t="n"/>
    </row>
    <row r="18">
      <c r="D18" s="6" t="n"/>
      <c r="H18" s="5" t="n"/>
      <c r="I18" s="5" t="n"/>
    </row>
    <row r="19">
      <c r="D19" s="6" t="n"/>
      <c r="H19" s="5" t="n"/>
      <c r="I19" s="5" t="n"/>
    </row>
    <row r="20">
      <c r="D20" s="6" t="n"/>
      <c r="H20" s="5" t="n"/>
      <c r="I20" s="5" t="n"/>
    </row>
    <row r="21">
      <c r="D21" s="6" t="n"/>
      <c r="H21" s="5" t="n"/>
      <c r="I21" s="5" t="n"/>
    </row>
    <row r="22">
      <c r="D22" s="6" t="n"/>
      <c r="H22" s="5" t="n"/>
      <c r="I22" s="5" t="n"/>
    </row>
    <row r="23">
      <c r="D23" s="6" t="n"/>
      <c r="H23" s="5" t="n"/>
      <c r="I23" s="5" t="n"/>
    </row>
    <row r="24">
      <c r="D24" s="6" t="n"/>
      <c r="H24" s="5" t="n"/>
      <c r="I24" s="5" t="n"/>
    </row>
    <row r="25">
      <c r="D25" s="6" t="n"/>
      <c r="H25" s="5" t="n"/>
      <c r="I25" s="5" t="n"/>
    </row>
    <row r="26">
      <c r="D26" s="6" t="n"/>
      <c r="H26" s="5" t="n"/>
      <c r="I26" s="5" t="n"/>
    </row>
    <row r="27">
      <c r="D27" s="6" t="n"/>
      <c r="H27" s="5" t="n"/>
      <c r="I27" s="5" t="n"/>
    </row>
    <row r="28">
      <c r="D28" s="6" t="n"/>
      <c r="H28" s="5" t="n"/>
      <c r="I28" s="5" t="n"/>
    </row>
    <row r="29">
      <c r="D29" s="6" t="n"/>
      <c r="H29" s="5" t="n"/>
      <c r="I29" s="5" t="n"/>
    </row>
    <row r="30">
      <c r="D30" s="6" t="n"/>
      <c r="H30" s="5" t="n"/>
      <c r="I30" s="5" t="n"/>
    </row>
    <row r="31">
      <c r="D31" s="6" t="n"/>
      <c r="H31" s="5" t="n"/>
      <c r="I31" s="5" t="n"/>
    </row>
    <row r="32">
      <c r="D32" s="6" t="n"/>
      <c r="H32" s="5" t="n"/>
      <c r="I32" s="5" t="n"/>
    </row>
    <row r="33">
      <c r="D33" s="6" t="n"/>
      <c r="H33" s="5" t="n"/>
      <c r="I33" s="5" t="n"/>
    </row>
    <row r="34">
      <c r="D34" s="6" t="n"/>
      <c r="H34" s="5" t="n"/>
      <c r="I34" s="5" t="n"/>
    </row>
    <row r="35">
      <c r="D35" s="6" t="n"/>
      <c r="H35" s="5" t="n"/>
      <c r="I35" s="5" t="n"/>
    </row>
    <row r="36">
      <c r="D36" s="6" t="n"/>
      <c r="H36" s="5" t="n"/>
      <c r="I36" s="5" t="n"/>
    </row>
    <row r="37">
      <c r="D37" s="6" t="n"/>
      <c r="H37" s="5" t="n"/>
      <c r="I37" s="5" t="n"/>
    </row>
    <row r="38">
      <c r="D38" s="6" t="n"/>
      <c r="H38" s="5" t="n"/>
      <c r="I38" s="5" t="n"/>
    </row>
    <row r="39">
      <c r="D39" s="6" t="n"/>
      <c r="H39" s="5" t="n"/>
      <c r="I39" s="5" t="n"/>
    </row>
    <row r="40">
      <c r="D40" s="6" t="n"/>
      <c r="H40" s="5" t="n"/>
      <c r="I40" s="5" t="n"/>
    </row>
    <row r="41">
      <c r="D41" s="6" t="n"/>
      <c r="H41" s="5" t="n"/>
      <c r="I41" s="5" t="n"/>
    </row>
    <row r="42">
      <c r="D42" s="6" t="n"/>
      <c r="H42" s="5" t="n"/>
      <c r="I42" s="5" t="n"/>
    </row>
    <row r="43">
      <c r="D43" s="6" t="n"/>
      <c r="H43" s="5" t="n"/>
      <c r="I43" s="5" t="n"/>
    </row>
    <row r="44">
      <c r="D44" s="6" t="n"/>
      <c r="H44" s="5" t="n"/>
      <c r="I44" s="5" t="n"/>
    </row>
    <row r="45">
      <c r="D45" s="6" t="n"/>
      <c r="H45" s="5" t="n"/>
      <c r="I45" s="5" t="n"/>
    </row>
    <row r="46">
      <c r="D46" s="6" t="n"/>
      <c r="H46" s="5" t="n"/>
      <c r="I46" s="5" t="n"/>
    </row>
    <row r="47">
      <c r="D47" s="6" t="n"/>
      <c r="H47" s="5" t="n"/>
      <c r="I47" s="5" t="n"/>
    </row>
    <row r="48">
      <c r="D48" s="6" t="n"/>
      <c r="H48" s="5" t="n"/>
      <c r="I48" s="5" t="n"/>
    </row>
    <row r="49">
      <c r="D49" s="6" t="n"/>
      <c r="H49" s="5" t="n"/>
      <c r="I49" s="5" t="n"/>
    </row>
    <row r="50">
      <c r="D50" s="6" t="n"/>
      <c r="H50" s="5" t="n"/>
      <c r="I50" s="5" t="n"/>
    </row>
    <row r="51">
      <c r="D51" s="6" t="n"/>
      <c r="H51" s="5" t="n"/>
      <c r="I51" s="5" t="n"/>
    </row>
    <row r="52">
      <c r="D52" s="6" t="n"/>
      <c r="H52" s="5" t="n"/>
      <c r="I52" s="5" t="n"/>
    </row>
    <row r="53">
      <c r="D53" s="6" t="n"/>
      <c r="H53" s="5" t="n"/>
      <c r="I53" s="5" t="n"/>
    </row>
    <row r="54">
      <c r="D54" s="6" t="n"/>
      <c r="H54" s="5" t="n"/>
      <c r="I54" s="5" t="n"/>
    </row>
    <row r="55">
      <c r="D55" s="6" t="n"/>
      <c r="H55" s="5" t="n"/>
      <c r="I55" s="5" t="n"/>
    </row>
    <row r="56">
      <c r="D56" s="6" t="n"/>
      <c r="H56" s="5" t="n"/>
      <c r="I56" s="5" t="n"/>
    </row>
    <row r="57">
      <c r="D57" s="6" t="n"/>
      <c r="H57" s="5" t="n"/>
      <c r="I57" s="5" t="n"/>
    </row>
    <row r="58">
      <c r="D58" s="6" t="n"/>
      <c r="H58" s="5" t="n"/>
      <c r="I58" s="5" t="n"/>
    </row>
    <row r="59">
      <c r="D59" s="6" t="n"/>
      <c r="H59" s="5" t="n"/>
      <c r="I59" s="5" t="n"/>
    </row>
    <row r="60">
      <c r="D60" s="6" t="n"/>
      <c r="H60" s="5" t="n"/>
      <c r="I60" s="5" t="n"/>
    </row>
    <row r="61">
      <c r="D61" s="6" t="n"/>
      <c r="H61" s="5" t="n"/>
      <c r="I61" s="5" t="n"/>
    </row>
    <row r="62">
      <c r="D62" s="6" t="n"/>
      <c r="H62" s="5" t="n"/>
      <c r="I62" s="5" t="n"/>
    </row>
    <row r="63">
      <c r="D63" s="6" t="n"/>
      <c r="H63" s="5" t="n"/>
      <c r="I63" s="5" t="n"/>
    </row>
    <row r="64">
      <c r="D64" s="6" t="n"/>
      <c r="H64" s="5" t="n"/>
      <c r="I64" s="5" t="n"/>
    </row>
    <row r="65">
      <c r="D65" s="6" t="n"/>
      <c r="H65" s="5" t="n"/>
      <c r="I65" s="5" t="n"/>
    </row>
    <row r="66">
      <c r="D66" s="6" t="n"/>
      <c r="H66" s="5" t="n"/>
      <c r="I66" s="5" t="n"/>
    </row>
    <row r="67">
      <c r="D67" s="6" t="n"/>
      <c r="H67" s="5" t="n"/>
      <c r="I67" s="5" t="n"/>
    </row>
    <row r="68">
      <c r="D68" s="6" t="n"/>
      <c r="H68" s="5" t="n"/>
      <c r="I68" s="5" t="n"/>
    </row>
    <row r="69">
      <c r="D69" s="6" t="n"/>
      <c r="H69" s="5" t="n"/>
      <c r="I69" s="5" t="n"/>
    </row>
    <row r="70">
      <c r="D70" s="6" t="n"/>
      <c r="H70" s="5" t="n"/>
      <c r="I70" s="5" t="n"/>
    </row>
    <row r="71">
      <c r="D71" s="6" t="n"/>
      <c r="H71" s="5" t="n"/>
      <c r="I71" s="5" t="n"/>
    </row>
    <row r="72">
      <c r="D72" s="6" t="n"/>
      <c r="H72" s="5" t="n"/>
      <c r="I72" s="5" t="n"/>
    </row>
    <row r="73">
      <c r="D73" s="6" t="n"/>
      <c r="H73" s="5" t="n"/>
      <c r="I73" s="5" t="n"/>
    </row>
    <row r="74">
      <c r="D74" s="6" t="n"/>
      <c r="H74" s="5" t="n"/>
      <c r="I74" s="5" t="n"/>
    </row>
    <row r="75">
      <c r="D75" s="6" t="n"/>
      <c r="H75" s="5" t="n"/>
      <c r="I75" s="5" t="n"/>
    </row>
    <row r="76">
      <c r="D76" s="6" t="n"/>
      <c r="H76" s="5" t="n"/>
      <c r="I76" s="5" t="n"/>
    </row>
    <row r="77">
      <c r="D77" s="6" t="n"/>
      <c r="H77" s="5" t="n"/>
      <c r="I77" s="5" t="n"/>
    </row>
    <row r="78">
      <c r="D78" s="6" t="n"/>
      <c r="H78" s="5" t="n"/>
      <c r="I78" s="5" t="n"/>
    </row>
    <row r="79">
      <c r="D79" s="6" t="n"/>
      <c r="H79" s="5" t="n"/>
      <c r="I79" s="5" t="n"/>
    </row>
    <row r="80">
      <c r="D80" s="6" t="n"/>
      <c r="H80" s="5" t="n"/>
      <c r="I80" s="5" t="n"/>
    </row>
    <row r="81">
      <c r="D81" s="6" t="n"/>
      <c r="H81" s="5" t="n"/>
      <c r="I81" s="5" t="n"/>
    </row>
    <row r="82">
      <c r="D82" s="6" t="n"/>
      <c r="H82" s="5" t="n"/>
      <c r="I82" s="5" t="n"/>
    </row>
    <row r="83">
      <c r="D83" s="6" t="n"/>
      <c r="H83" s="5" t="n"/>
      <c r="I83" s="5" t="n"/>
    </row>
    <row r="84">
      <c r="D84" s="6" t="n"/>
      <c r="H84" s="5" t="n"/>
      <c r="I84" s="5" t="n"/>
    </row>
    <row r="85">
      <c r="D85" s="6" t="n"/>
      <c r="H85" s="5" t="n"/>
      <c r="I85" s="5" t="n"/>
    </row>
    <row r="86">
      <c r="D86" s="6" t="n"/>
      <c r="H86" s="5" t="n"/>
      <c r="I86" s="5" t="n"/>
    </row>
    <row r="87">
      <c r="D87" s="6" t="n"/>
      <c r="H87" s="5" t="n"/>
      <c r="I87" s="5" t="n"/>
    </row>
    <row r="88">
      <c r="D88" s="6" t="n"/>
      <c r="H88" s="5" t="n"/>
      <c r="I88" s="5" t="n"/>
    </row>
    <row r="89">
      <c r="D89" s="6" t="n"/>
      <c r="H89" s="5" t="n"/>
      <c r="I89" s="5" t="n"/>
    </row>
    <row r="90">
      <c r="D90" s="6" t="n"/>
      <c r="H90" s="5" t="n"/>
      <c r="I90" s="5" t="n"/>
    </row>
    <row r="91">
      <c r="D91" s="6" t="n"/>
      <c r="H91" s="5" t="n"/>
      <c r="I91" s="5" t="n"/>
    </row>
    <row r="92">
      <c r="D92" s="6" t="n"/>
      <c r="H92" s="5" t="n"/>
      <c r="I92" s="5" t="n"/>
    </row>
    <row r="93">
      <c r="D93" s="6" t="n"/>
      <c r="H93" s="5" t="n"/>
      <c r="I93" s="5" t="n"/>
    </row>
    <row r="94">
      <c r="D94" s="6" t="n"/>
      <c r="H94" s="5" t="n"/>
      <c r="I94" s="5" t="n"/>
    </row>
    <row r="95">
      <c r="D95" s="6" t="n"/>
      <c r="H95" s="5" t="n"/>
      <c r="I95" s="5" t="n"/>
    </row>
    <row r="96">
      <c r="D96" s="6" t="n"/>
      <c r="H96" s="5" t="n"/>
      <c r="I96" s="5" t="n"/>
    </row>
    <row r="97">
      <c r="D97" s="6" t="n"/>
      <c r="H97" s="5" t="n"/>
      <c r="I97" s="5" t="n"/>
    </row>
    <row r="98">
      <c r="D98" s="6" t="n"/>
      <c r="H98" s="5" t="n"/>
      <c r="I98" s="5" t="n"/>
    </row>
    <row r="99">
      <c r="D99" s="6" t="n"/>
      <c r="H99" s="5" t="n"/>
      <c r="I99" s="5" t="n"/>
    </row>
    <row r="100">
      <c r="D100" s="6" t="n"/>
      <c r="H100" s="5" t="n"/>
      <c r="I100" s="5" t="n"/>
    </row>
    <row r="101">
      <c r="D101" s="6" t="n"/>
      <c r="H101" s="5" t="n"/>
      <c r="I101" s="5" t="n"/>
    </row>
    <row r="102">
      <c r="D102" s="6" t="n"/>
      <c r="H102" s="5" t="n"/>
      <c r="I102" s="5" t="n"/>
    </row>
    <row r="103">
      <c r="D103" s="6" t="n"/>
      <c r="H103" s="5" t="n"/>
      <c r="I103" s="5" t="n"/>
    </row>
    <row r="104">
      <c r="D104" s="6" t="n"/>
      <c r="H104" s="5" t="n"/>
      <c r="I104" s="5" t="n"/>
    </row>
    <row r="105">
      <c r="D105" s="6" t="n"/>
      <c r="H105" s="5" t="n"/>
      <c r="I105" s="5" t="n"/>
    </row>
    <row r="106">
      <c r="D106" s="6" t="n"/>
      <c r="H106" s="5" t="n"/>
      <c r="I106" s="5" t="n"/>
    </row>
    <row r="107">
      <c r="D107" s="6" t="n"/>
      <c r="H107" s="5" t="n"/>
      <c r="I107" s="5" t="n"/>
    </row>
    <row r="108">
      <c r="D108" s="6" t="n"/>
      <c r="H108" s="5" t="n"/>
      <c r="I108" s="5" t="n"/>
    </row>
    <row r="109">
      <c r="D109" s="6" t="n"/>
      <c r="H109" s="5" t="n"/>
      <c r="I109" s="5" t="n"/>
    </row>
    <row r="110">
      <c r="D110" s="6" t="n"/>
      <c r="H110" s="5" t="n"/>
      <c r="I110" s="5" t="n"/>
    </row>
    <row r="111">
      <c r="D111" s="6" t="n"/>
      <c r="H111" s="5" t="n"/>
      <c r="I111" s="5" t="n"/>
    </row>
    <row r="112">
      <c r="D112" s="6" t="n"/>
      <c r="H112" s="5" t="n"/>
      <c r="I112" s="5" t="n"/>
    </row>
    <row r="113">
      <c r="D113" s="6" t="n"/>
      <c r="H113" s="5" t="n"/>
      <c r="I113" s="5" t="n"/>
    </row>
    <row r="114">
      <c r="D114" s="6" t="n"/>
      <c r="H114" s="5" t="n"/>
      <c r="I114" s="5" t="n"/>
    </row>
    <row r="115">
      <c r="D115" s="6" t="n"/>
      <c r="H115" s="5" t="n"/>
      <c r="I115" s="5" t="n"/>
    </row>
    <row r="116">
      <c r="D116" s="6" t="n"/>
      <c r="H116" s="5" t="n"/>
      <c r="I116" s="5" t="n"/>
    </row>
    <row r="117">
      <c r="D117" s="6" t="n"/>
      <c r="H117" s="5" t="n"/>
      <c r="I117" s="5" t="n"/>
    </row>
    <row r="118">
      <c r="D118" s="6" t="n"/>
      <c r="H118" s="5" t="n"/>
      <c r="I118" s="5" t="n"/>
    </row>
    <row r="119">
      <c r="D119" s="6" t="n"/>
      <c r="H119" s="5" t="n"/>
      <c r="I119" s="5" t="n"/>
    </row>
    <row r="120">
      <c r="D120" s="6" t="n"/>
      <c r="H120" s="5" t="n"/>
      <c r="I120" s="5" t="n"/>
    </row>
    <row r="121">
      <c r="D121" s="6" t="n"/>
      <c r="H121" s="5" t="n"/>
      <c r="I121" s="5" t="n"/>
    </row>
    <row r="122">
      <c r="D122" s="6" t="n"/>
      <c r="H122" s="5" t="n"/>
      <c r="I122" s="5" t="n"/>
    </row>
    <row r="123">
      <c r="D123" s="6" t="n"/>
      <c r="H123" s="5" t="n"/>
      <c r="I123" s="5" t="n"/>
    </row>
    <row r="124">
      <c r="D124" s="6" t="n"/>
      <c r="H124" s="5" t="n"/>
      <c r="I124" s="5" t="n"/>
    </row>
    <row r="125">
      <c r="D125" s="6" t="n"/>
      <c r="H125" s="5" t="n"/>
      <c r="I125" s="5" t="n"/>
    </row>
    <row r="126">
      <c r="D126" s="6" t="n"/>
      <c r="H126" s="5" t="n"/>
      <c r="I126" s="5" t="n"/>
    </row>
    <row r="127">
      <c r="D127" s="6" t="n"/>
      <c r="H127" s="5" t="n"/>
      <c r="I127" s="5" t="n"/>
    </row>
    <row r="128">
      <c r="D128" s="6" t="n"/>
      <c r="H128" s="5" t="n"/>
      <c r="I128" s="5" t="n"/>
    </row>
    <row r="129">
      <c r="D129" s="6" t="n"/>
      <c r="H129" s="5" t="n"/>
      <c r="I129" s="5" t="n"/>
    </row>
    <row r="130">
      <c r="D130" s="6" t="n"/>
      <c r="H130" s="5" t="n"/>
      <c r="I130" s="5" t="n"/>
    </row>
    <row r="131">
      <c r="D131" s="6" t="n"/>
      <c r="H131" s="5" t="n"/>
      <c r="I131" s="5" t="n"/>
    </row>
    <row r="132">
      <c r="D132" s="6" t="n"/>
      <c r="H132" s="5" t="n"/>
      <c r="I132" s="5" t="n"/>
    </row>
    <row r="133">
      <c r="D133" s="6" t="n"/>
      <c r="H133" s="5" t="n"/>
      <c r="I133" s="5" t="n"/>
    </row>
    <row r="134">
      <c r="D134" s="6" t="n"/>
      <c r="H134" s="5" t="n"/>
      <c r="I134" s="5" t="n"/>
    </row>
    <row r="135">
      <c r="D135" s="6" t="n"/>
      <c r="H135" s="5" t="n"/>
      <c r="I135" s="5" t="n"/>
    </row>
    <row r="136">
      <c r="D136" s="6" t="n"/>
      <c r="H136" s="5" t="n"/>
      <c r="I136" s="5" t="n"/>
    </row>
    <row r="137">
      <c r="D137" s="6" t="n"/>
      <c r="H137" s="5" t="n"/>
      <c r="I137" s="5" t="n"/>
    </row>
    <row r="138">
      <c r="D138" s="6" t="n"/>
      <c r="H138" s="5" t="n"/>
      <c r="I138" s="5" t="n"/>
    </row>
    <row r="139">
      <c r="D139" s="6" t="n"/>
      <c r="H139" s="5" t="n"/>
      <c r="I139" s="5" t="n"/>
    </row>
    <row r="140">
      <c r="D140" s="6" t="n"/>
      <c r="H140" s="5" t="n"/>
      <c r="I140" s="5" t="n"/>
    </row>
    <row r="141">
      <c r="D141" s="6" t="n"/>
      <c r="H141" s="5" t="n"/>
      <c r="I141" s="5" t="n"/>
    </row>
    <row r="142">
      <c r="D142" s="6" t="n"/>
      <c r="H142" s="5" t="n"/>
      <c r="I142" s="5" t="n"/>
    </row>
    <row r="143">
      <c r="D143" s="6" t="n"/>
      <c r="H143" s="5" t="n"/>
      <c r="I143" s="5" t="n"/>
    </row>
    <row r="144">
      <c r="D144" s="6" t="n"/>
      <c r="H144" s="5" t="n"/>
      <c r="I144" s="5" t="n"/>
    </row>
    <row r="145">
      <c r="D145" s="6" t="n"/>
      <c r="H145" s="5" t="n"/>
      <c r="I145" s="5" t="n"/>
    </row>
    <row r="146">
      <c r="D146" s="6" t="n"/>
      <c r="H146" s="5" t="n"/>
      <c r="I146" s="5" t="n"/>
    </row>
    <row r="147">
      <c r="D147" s="6" t="n"/>
      <c r="H147" s="5" t="n"/>
      <c r="I147" s="5" t="n"/>
    </row>
    <row r="148">
      <c r="D148" s="6" t="n"/>
      <c r="H148" s="5" t="n"/>
      <c r="I148" s="5" t="n"/>
    </row>
    <row r="149">
      <c r="D149" s="6" t="n"/>
      <c r="H149" s="5" t="n"/>
      <c r="I149" s="5" t="n"/>
    </row>
    <row r="150">
      <c r="D150" s="6" t="n"/>
      <c r="H150" s="5" t="n"/>
      <c r="I150" s="5" t="n"/>
    </row>
    <row r="151">
      <c r="D151" s="6" t="n"/>
      <c r="H151" s="5" t="n"/>
      <c r="I151" s="5" t="n"/>
    </row>
    <row r="152">
      <c r="D152" s="6" t="n"/>
      <c r="H152" s="5" t="n"/>
      <c r="I152" s="5" t="n"/>
    </row>
    <row r="153">
      <c r="D153" s="6" t="n"/>
      <c r="H153" s="5" t="n"/>
      <c r="I153" s="5" t="n"/>
    </row>
    <row r="154">
      <c r="D154" s="6" t="n"/>
      <c r="H154" s="5" t="n"/>
      <c r="I154" s="5" t="n"/>
    </row>
    <row r="155">
      <c r="D155" s="6" t="n"/>
      <c r="H155" s="5" t="n"/>
      <c r="I155" s="5" t="n"/>
    </row>
    <row r="156">
      <c r="D156" s="6" t="n"/>
      <c r="H156" s="5" t="n"/>
      <c r="I156" s="5" t="n"/>
    </row>
    <row r="157">
      <c r="D157" s="6" t="n"/>
      <c r="H157" s="5" t="n"/>
      <c r="I157" s="5" t="n"/>
    </row>
    <row r="158">
      <c r="D158" s="6" t="n"/>
      <c r="H158" s="5" t="n"/>
      <c r="I158" s="5" t="n"/>
    </row>
    <row r="159">
      <c r="D159" s="6" t="n"/>
      <c r="H159" s="5" t="n"/>
      <c r="I159" s="5" t="n"/>
    </row>
    <row r="160">
      <c r="D160" s="6" t="n"/>
      <c r="H160" s="5" t="n"/>
      <c r="I160" s="5" t="n"/>
    </row>
    <row r="161">
      <c r="D161" s="6" t="n"/>
      <c r="H161" s="5" t="n"/>
      <c r="I161" s="5" t="n"/>
    </row>
    <row r="162">
      <c r="D162" s="6" t="n"/>
      <c r="H162" s="5" t="n"/>
      <c r="I162" s="5" t="n"/>
    </row>
    <row r="163">
      <c r="D163" s="6" t="n"/>
      <c r="H163" s="5" t="n"/>
      <c r="I163" s="5" t="n"/>
    </row>
    <row r="164">
      <c r="D164" s="6" t="n"/>
      <c r="H164" s="5" t="n"/>
      <c r="I164" s="5" t="n"/>
    </row>
    <row r="165">
      <c r="D165" s="6" t="n"/>
      <c r="H165" s="5" t="n"/>
      <c r="I165" s="5" t="n"/>
    </row>
    <row r="166">
      <c r="D166" s="6" t="n"/>
      <c r="H166" s="5" t="n"/>
      <c r="I166" s="5" t="n"/>
    </row>
    <row r="167">
      <c r="D167" s="6" t="n"/>
      <c r="H167" s="5" t="n"/>
      <c r="I167" s="5" t="n"/>
    </row>
    <row r="168">
      <c r="D168" s="6" t="n"/>
      <c r="H168" s="5" t="n"/>
      <c r="I168" s="5" t="n"/>
    </row>
    <row r="169">
      <c r="D169" s="6" t="n"/>
      <c r="H169" s="5" t="n"/>
      <c r="I169" s="5" t="n"/>
    </row>
    <row r="170">
      <c r="D170" s="6" t="n"/>
      <c r="H170" s="5" t="n"/>
      <c r="I170" s="5" t="n"/>
    </row>
    <row r="171">
      <c r="D171" s="6" t="n"/>
      <c r="H171" s="5" t="n"/>
      <c r="I171" s="5" t="n"/>
    </row>
    <row r="172">
      <c r="D172" s="6" t="n"/>
      <c r="H172" s="5" t="n"/>
      <c r="I172" s="5" t="n"/>
    </row>
    <row r="173">
      <c r="D173" s="6" t="n"/>
      <c r="H173" s="5" t="n"/>
      <c r="I173" s="5" t="n"/>
    </row>
    <row r="174">
      <c r="D174" s="6" t="n"/>
      <c r="H174" s="5" t="n"/>
      <c r="I174" s="5" t="n"/>
    </row>
    <row r="175">
      <c r="D175" s="6" t="n"/>
      <c r="H175" s="5" t="n"/>
      <c r="I175" s="5" t="n"/>
    </row>
    <row r="176">
      <c r="D176" s="6" t="n"/>
      <c r="H176" s="5" t="n"/>
      <c r="I176" s="5" t="n"/>
    </row>
    <row r="177">
      <c r="D177" s="6" t="n"/>
      <c r="H177" s="5" t="n"/>
      <c r="I177" s="5" t="n"/>
    </row>
    <row r="178">
      <c r="D178" s="6" t="n"/>
      <c r="H178" s="5" t="n"/>
      <c r="I178" s="5" t="n"/>
    </row>
    <row r="179">
      <c r="D179" s="6" t="n"/>
      <c r="H179" s="5" t="n"/>
      <c r="I179" s="5" t="n"/>
    </row>
    <row r="180">
      <c r="D180" s="6" t="n"/>
      <c r="H180" s="5" t="n"/>
      <c r="I180" s="5" t="n"/>
    </row>
    <row r="181">
      <c r="D181" s="6" t="n"/>
      <c r="H181" s="5" t="n"/>
      <c r="I181" s="5" t="n"/>
    </row>
    <row r="182">
      <c r="D182" s="6" t="n"/>
      <c r="H182" s="5" t="n"/>
      <c r="I182" s="5" t="n"/>
    </row>
    <row r="183">
      <c r="D183" s="6" t="n"/>
      <c r="H183" s="5" t="n"/>
      <c r="I183" s="5" t="n"/>
    </row>
    <row r="184">
      <c r="D184" s="6" t="n"/>
      <c r="H184" s="5" t="n"/>
      <c r="I184" s="5" t="n"/>
    </row>
    <row r="185">
      <c r="D185" s="6" t="n"/>
      <c r="H185" s="5" t="n"/>
      <c r="I185" s="5" t="n"/>
    </row>
    <row r="186">
      <c r="D186" s="6" t="n"/>
      <c r="H186" s="5" t="n"/>
      <c r="I186" s="5" t="n"/>
    </row>
    <row r="187">
      <c r="D187" s="6" t="n"/>
      <c r="H187" s="5" t="n"/>
      <c r="I187" s="5" t="n"/>
    </row>
    <row r="188">
      <c r="D188" s="6" t="n"/>
      <c r="H188" s="5" t="n"/>
      <c r="I188" s="5" t="n"/>
    </row>
    <row r="189">
      <c r="D189" s="6" t="n"/>
      <c r="H189" s="5" t="n"/>
      <c r="I189" s="5" t="n"/>
    </row>
    <row r="190">
      <c r="D190" s="6" t="n"/>
      <c r="H190" s="5" t="n"/>
      <c r="I190" s="5" t="n"/>
    </row>
    <row r="191">
      <c r="D191" s="6" t="n"/>
      <c r="H191" s="5" t="n"/>
      <c r="I191" s="5" t="n"/>
    </row>
    <row r="192">
      <c r="D192" s="6" t="n"/>
      <c r="H192" s="5" t="n"/>
      <c r="I192" s="5" t="n"/>
    </row>
    <row r="193">
      <c r="D193" s="6" t="n"/>
      <c r="H193" s="5" t="n"/>
      <c r="I193" s="5" t="n"/>
    </row>
    <row r="194">
      <c r="D194" s="6" t="n"/>
      <c r="H194" s="5" t="n"/>
      <c r="I194" s="5" t="n"/>
    </row>
    <row r="195">
      <c r="D195" s="6" t="n"/>
      <c r="H195" s="5" t="n"/>
      <c r="I195" s="5" t="n"/>
    </row>
    <row r="196">
      <c r="D196" s="6" t="n"/>
      <c r="H196" s="5" t="n"/>
      <c r="I196" s="5" t="n"/>
    </row>
    <row r="197">
      <c r="D197" s="6" t="n"/>
      <c r="H197" s="5" t="n"/>
      <c r="I197" s="5" t="n"/>
    </row>
    <row r="198">
      <c r="D198" s="6" t="n"/>
      <c r="H198" s="5" t="n"/>
      <c r="I198" s="5" t="n"/>
    </row>
    <row r="199">
      <c r="D199" s="6" t="n"/>
      <c r="H199" s="5" t="n"/>
      <c r="I199" s="5" t="n"/>
    </row>
    <row r="200">
      <c r="D200" s="6" t="n"/>
      <c r="H200" s="5" t="n"/>
      <c r="I200" s="5" t="n"/>
    </row>
    <row r="201">
      <c r="D201" s="6" t="n"/>
      <c r="H201" s="5" t="n"/>
      <c r="I201" s="5" t="n"/>
    </row>
    <row r="202">
      <c r="D202" s="6" t="n"/>
      <c r="H202" s="5" t="n"/>
      <c r="I202" s="5" t="n"/>
    </row>
    <row r="203">
      <c r="D203" s="6" t="n"/>
      <c r="H203" s="5" t="n"/>
      <c r="I203" s="5" t="n"/>
    </row>
    <row r="204">
      <c r="D204" s="6" t="n"/>
      <c r="H204" s="5" t="n"/>
      <c r="I204" s="5" t="n"/>
    </row>
    <row r="205">
      <c r="D205" s="6" t="n"/>
      <c r="H205" s="5" t="n"/>
      <c r="I205" s="5" t="n"/>
    </row>
    <row r="206">
      <c r="D206" s="6" t="n"/>
      <c r="H206" s="5" t="n"/>
      <c r="I206" s="5" t="n"/>
    </row>
    <row r="207">
      <c r="D207" s="6" t="n"/>
      <c r="H207" s="5" t="n"/>
      <c r="I207" s="5" t="n"/>
    </row>
    <row r="208">
      <c r="D208" s="6" t="n"/>
      <c r="H208" s="5" t="n"/>
      <c r="I208" s="5" t="n"/>
    </row>
    <row r="209">
      <c r="D209" s="6" t="n"/>
      <c r="H209" s="5" t="n"/>
      <c r="I209" s="5" t="n"/>
    </row>
    <row r="210">
      <c r="D210" s="6" t="n"/>
      <c r="H210" s="5" t="n"/>
      <c r="I210" s="5" t="n"/>
    </row>
    <row r="211">
      <c r="D211" s="6" t="n"/>
      <c r="H211" s="5" t="n"/>
      <c r="I211" s="5" t="n"/>
    </row>
    <row r="212">
      <c r="D212" s="6" t="n"/>
      <c r="H212" s="5" t="n"/>
      <c r="I212" s="5" t="n"/>
    </row>
    <row r="213">
      <c r="D213" s="6" t="n"/>
      <c r="H213" s="5" t="n"/>
      <c r="I213" s="5" t="n"/>
    </row>
    <row r="214">
      <c r="D214" s="6" t="n"/>
      <c r="H214" s="5" t="n"/>
      <c r="I214" s="5" t="n"/>
    </row>
    <row r="215">
      <c r="D215" s="6" t="n"/>
      <c r="H215" s="5" t="n"/>
      <c r="I215" s="5" t="n"/>
    </row>
    <row r="216">
      <c r="D216" s="6" t="n"/>
      <c r="H216" s="5" t="n"/>
      <c r="I216" s="5" t="n"/>
    </row>
    <row r="217">
      <c r="D217" s="6" t="n"/>
      <c r="H217" s="5" t="n"/>
      <c r="I217" s="5" t="n"/>
    </row>
    <row r="218">
      <c r="D218" s="6" t="n"/>
      <c r="H218" s="5" t="n"/>
      <c r="I218" s="5" t="n"/>
    </row>
    <row r="219">
      <c r="D219" s="6" t="n"/>
      <c r="H219" s="5" t="n"/>
      <c r="I219" s="5" t="n"/>
    </row>
    <row r="220">
      <c r="D220" s="6" t="n"/>
      <c r="H220" s="5" t="n"/>
      <c r="I220" s="5" t="n"/>
    </row>
    <row r="221">
      <c r="D221" s="6" t="n"/>
      <c r="H221" s="5" t="n"/>
      <c r="I221" s="5" t="n"/>
    </row>
    <row r="222">
      <c r="D222" s="6" t="n"/>
      <c r="H222" s="5" t="n"/>
      <c r="I222" s="5" t="n"/>
    </row>
    <row r="223">
      <c r="D223" s="6" t="n"/>
      <c r="H223" s="5" t="n"/>
      <c r="I223" s="5" t="n"/>
    </row>
    <row r="224">
      <c r="D224" s="6" t="n"/>
      <c r="H224" s="5" t="n"/>
      <c r="I224" s="5" t="n"/>
    </row>
    <row r="225">
      <c r="D225" s="6" t="n"/>
      <c r="H225" s="5" t="n"/>
      <c r="I225" s="5" t="n"/>
    </row>
    <row r="226">
      <c r="D226" s="6" t="n"/>
      <c r="H226" s="5" t="n"/>
      <c r="I226" s="5" t="n"/>
    </row>
    <row r="227">
      <c r="D227" s="6" t="n"/>
      <c r="H227" s="5" t="n"/>
      <c r="I227" s="5" t="n"/>
    </row>
    <row r="228">
      <c r="D228" s="6" t="n"/>
      <c r="H228" s="5" t="n"/>
      <c r="I228" s="5" t="n"/>
    </row>
    <row r="229">
      <c r="D229" s="6" t="n"/>
      <c r="H229" s="5" t="n"/>
      <c r="I229" s="5" t="n"/>
    </row>
    <row r="230">
      <c r="D230" s="6" t="n"/>
      <c r="H230" s="5" t="n"/>
      <c r="I230" s="5" t="n"/>
    </row>
    <row r="231">
      <c r="D231" s="6" t="n"/>
      <c r="H231" s="5" t="n"/>
      <c r="I231" s="5" t="n"/>
    </row>
    <row r="232">
      <c r="D232" s="6" t="n"/>
      <c r="H232" s="5" t="n"/>
      <c r="I232" s="5" t="n"/>
    </row>
    <row r="233">
      <c r="D233" s="6" t="n"/>
      <c r="H233" s="5" t="n"/>
      <c r="I233" s="5" t="n"/>
    </row>
    <row r="234">
      <c r="D234" s="6" t="n"/>
      <c r="H234" s="5" t="n"/>
      <c r="I234" s="5" t="n"/>
    </row>
    <row r="235">
      <c r="D235" s="6" t="n"/>
      <c r="H235" s="5" t="n"/>
      <c r="I235" s="5" t="n"/>
    </row>
    <row r="236">
      <c r="D236" s="6" t="n"/>
      <c r="H236" s="5" t="n"/>
      <c r="I236" s="5" t="n"/>
    </row>
    <row r="237">
      <c r="D237" s="6" t="n"/>
      <c r="H237" s="5" t="n"/>
      <c r="I237" s="5" t="n"/>
    </row>
    <row r="238">
      <c r="D238" s="6" t="n"/>
      <c r="H238" s="5" t="n"/>
      <c r="I238" s="5" t="n"/>
    </row>
    <row r="239">
      <c r="D239" s="6" t="n"/>
      <c r="H239" s="5" t="n"/>
      <c r="I239" s="5" t="n"/>
    </row>
    <row r="240">
      <c r="D240" s="6" t="n"/>
      <c r="H240" s="5" t="n"/>
      <c r="I240" s="5" t="n"/>
    </row>
    <row r="241">
      <c r="D241" s="6" t="n"/>
      <c r="H241" s="5" t="n"/>
      <c r="I241" s="5" t="n"/>
    </row>
    <row r="242">
      <c r="D242" s="6" t="n"/>
      <c r="H242" s="5" t="n"/>
      <c r="I242" s="5" t="n"/>
    </row>
    <row r="243">
      <c r="D243" s="6" t="n"/>
      <c r="H243" s="5" t="n"/>
      <c r="I243" s="5" t="n"/>
    </row>
    <row r="244">
      <c r="D244" s="6" t="n"/>
      <c r="H244" s="5" t="n"/>
      <c r="I244" s="5" t="n"/>
    </row>
    <row r="245">
      <c r="D245" s="6" t="n"/>
      <c r="H245" s="5" t="n"/>
      <c r="I245" s="5" t="n"/>
    </row>
    <row r="246">
      <c r="D246" s="6" t="n"/>
      <c r="H246" s="5" t="n"/>
      <c r="I246" s="5" t="n"/>
    </row>
    <row r="247">
      <c r="D247" s="6" t="n"/>
      <c r="H247" s="5" t="n"/>
      <c r="I247" s="5" t="n"/>
    </row>
    <row r="248">
      <c r="D248" s="6" t="n"/>
      <c r="H248" s="5" t="n"/>
      <c r="I248" s="5" t="n"/>
    </row>
    <row r="249">
      <c r="D249" s="6" t="n"/>
      <c r="H249" s="5" t="n"/>
      <c r="I249" s="5" t="n"/>
    </row>
    <row r="250">
      <c r="D250" s="6" t="n"/>
      <c r="H250" s="5" t="n"/>
      <c r="I250" s="5" t="n"/>
    </row>
    <row r="251">
      <c r="D251" s="6" t="n"/>
      <c r="H251" s="5" t="n"/>
      <c r="I251" s="5" t="n"/>
    </row>
    <row r="252">
      <c r="D252" s="6" t="n"/>
      <c r="H252" s="5" t="n"/>
      <c r="I252" s="5" t="n"/>
    </row>
    <row r="253">
      <c r="D253" s="6" t="n"/>
      <c r="H253" s="5" t="n"/>
      <c r="I253" s="5" t="n"/>
    </row>
    <row r="254">
      <c r="D254" s="6" t="n"/>
      <c r="H254" s="5" t="n"/>
      <c r="I254" s="5" t="n"/>
    </row>
    <row r="255">
      <c r="D255" s="6" t="n"/>
      <c r="H255" s="5" t="n"/>
      <c r="I255" s="5" t="n"/>
    </row>
    <row r="256">
      <c r="D256" s="6" t="n"/>
      <c r="H256" s="5" t="n"/>
      <c r="I256" s="5" t="n"/>
    </row>
    <row r="257">
      <c r="D257" s="6" t="n"/>
      <c r="H257" s="5" t="n"/>
      <c r="I257" s="5" t="n"/>
    </row>
    <row r="258">
      <c r="D258" s="6" t="n"/>
      <c r="H258" s="5" t="n"/>
      <c r="I258" s="5" t="n"/>
    </row>
    <row r="259">
      <c r="D259" s="6" t="n"/>
      <c r="H259" s="5" t="n"/>
      <c r="I259" s="5" t="n"/>
    </row>
    <row r="260">
      <c r="D260" s="6" t="n"/>
      <c r="H260" s="5" t="n"/>
      <c r="I260" s="5" t="n"/>
    </row>
    <row r="261">
      <c r="D261" s="6" t="n"/>
      <c r="H261" s="5" t="n"/>
      <c r="I261" s="5" t="n"/>
    </row>
    <row r="262">
      <c r="D262" s="6" t="n"/>
      <c r="H262" s="5" t="n"/>
      <c r="I262" s="5" t="n"/>
    </row>
    <row r="263">
      <c r="D263" s="6" t="n"/>
      <c r="H263" s="5" t="n"/>
      <c r="I263" s="5" t="n"/>
    </row>
    <row r="264">
      <c r="D264" s="6" t="n"/>
      <c r="H264" s="5" t="n"/>
      <c r="I264" s="5" t="n"/>
    </row>
    <row r="265">
      <c r="D265" s="6" t="n"/>
      <c r="H265" s="5" t="n"/>
      <c r="I265" s="5" t="n"/>
    </row>
    <row r="266">
      <c r="D266" s="6" t="n"/>
      <c r="H266" s="5" t="n"/>
      <c r="I266" s="5" t="n"/>
    </row>
    <row r="267">
      <c r="D267" s="6" t="n"/>
      <c r="H267" s="5" t="n"/>
      <c r="I267" s="5" t="n"/>
    </row>
    <row r="268">
      <c r="D268" s="6" t="n"/>
      <c r="H268" s="5" t="n"/>
      <c r="I268" s="5" t="n"/>
    </row>
    <row r="269">
      <c r="D269" s="6" t="n"/>
      <c r="H269" s="5" t="n"/>
      <c r="I269" s="5" t="n"/>
    </row>
    <row r="270">
      <c r="D270" s="6" t="n"/>
      <c r="H270" s="5" t="n"/>
      <c r="I270" s="5" t="n"/>
    </row>
    <row r="271">
      <c r="D271" s="6" t="n"/>
      <c r="H271" s="5" t="n"/>
      <c r="I271" s="5" t="n"/>
    </row>
    <row r="272">
      <c r="D272" s="6" t="n"/>
      <c r="H272" s="5" t="n"/>
      <c r="I272" s="5" t="n"/>
    </row>
    <row r="273">
      <c r="D273" s="6" t="n"/>
      <c r="H273" s="5" t="n"/>
      <c r="I273" s="5" t="n"/>
    </row>
    <row r="274">
      <c r="D274" s="6" t="n"/>
      <c r="H274" s="5" t="n"/>
      <c r="I274" s="5" t="n"/>
    </row>
    <row r="275">
      <c r="D275" s="6" t="n"/>
      <c r="H275" s="5" t="n"/>
      <c r="I275" s="5" t="n"/>
    </row>
    <row r="276">
      <c r="D276" s="6" t="n"/>
      <c r="H276" s="5" t="n"/>
      <c r="I276" s="5" t="n"/>
    </row>
    <row r="277">
      <c r="D277" s="6" t="n"/>
      <c r="H277" s="5" t="n"/>
      <c r="I277" s="5" t="n"/>
    </row>
    <row r="278">
      <c r="D278" s="6" t="n"/>
      <c r="H278" s="5" t="n"/>
      <c r="I278" s="5" t="n"/>
    </row>
    <row r="279">
      <c r="D279" s="6" t="n"/>
      <c r="H279" s="5" t="n"/>
      <c r="I279" s="5" t="n"/>
    </row>
    <row r="280">
      <c r="D280" s="6" t="n"/>
      <c r="H280" s="5" t="n"/>
      <c r="I280" s="5" t="n"/>
    </row>
    <row r="281">
      <c r="D281" s="6" t="n"/>
      <c r="H281" s="5" t="n"/>
      <c r="I281" s="5" t="n"/>
    </row>
    <row r="282">
      <c r="D282" s="6" t="n"/>
      <c r="H282" s="5" t="n"/>
      <c r="I282" s="5" t="n"/>
    </row>
    <row r="283">
      <c r="D283" s="6" t="n"/>
      <c r="H283" s="5" t="n"/>
      <c r="I283" s="5" t="n"/>
    </row>
    <row r="284">
      <c r="D284" s="6" t="n"/>
      <c r="H284" s="5" t="n"/>
      <c r="I284" s="5" t="n"/>
    </row>
    <row r="285">
      <c r="D285" s="6" t="n"/>
      <c r="H285" s="5" t="n"/>
      <c r="I285" s="5" t="n"/>
    </row>
    <row r="286">
      <c r="D286" s="6" t="n"/>
      <c r="H286" s="5" t="n"/>
      <c r="I286" s="5" t="n"/>
    </row>
    <row r="287">
      <c r="D287" s="6" t="n"/>
      <c r="H287" s="5" t="n"/>
      <c r="I287" s="5" t="n"/>
    </row>
    <row r="288">
      <c r="D288" s="6" t="n"/>
      <c r="H288" s="5" t="n"/>
      <c r="I288" s="5" t="n"/>
    </row>
    <row r="289">
      <c r="D289" s="6" t="n"/>
      <c r="H289" s="5" t="n"/>
      <c r="I289" s="5" t="n"/>
    </row>
    <row r="290">
      <c r="D290" s="6" t="n"/>
      <c r="H290" s="5" t="n"/>
      <c r="I290" s="5" t="n"/>
    </row>
    <row r="291">
      <c r="D291" s="6" t="n"/>
      <c r="H291" s="5" t="n"/>
      <c r="I291" s="5" t="n"/>
    </row>
    <row r="292">
      <c r="D292" s="6" t="n"/>
      <c r="H292" s="5" t="n"/>
      <c r="I292" s="5" t="n"/>
    </row>
    <row r="293">
      <c r="D293" s="6" t="n"/>
      <c r="H293" s="5" t="n"/>
      <c r="I293" s="5" t="n"/>
    </row>
    <row r="294">
      <c r="D294" s="6" t="n"/>
      <c r="H294" s="5" t="n"/>
      <c r="I294" s="5" t="n"/>
    </row>
    <row r="295">
      <c r="D295" s="6" t="n"/>
      <c r="H295" s="5" t="n"/>
      <c r="I295" s="5" t="n"/>
    </row>
    <row r="296">
      <c r="D296" s="6" t="n"/>
      <c r="H296" s="5" t="n"/>
      <c r="I296" s="5" t="n"/>
    </row>
    <row r="297">
      <c r="D297" s="6" t="n"/>
      <c r="H297" s="5" t="n"/>
      <c r="I297" s="5" t="n"/>
    </row>
    <row r="298">
      <c r="D298" s="6" t="n"/>
      <c r="H298" s="5" t="n"/>
      <c r="I298" s="5" t="n"/>
    </row>
    <row r="299">
      <c r="D299" s="6" t="n"/>
      <c r="H299" s="5" t="n"/>
      <c r="I299" s="5" t="n"/>
    </row>
    <row r="300">
      <c r="D300" s="6" t="n"/>
      <c r="H300" s="5" t="n"/>
      <c r="I300" s="5" t="n"/>
    </row>
    <row r="301">
      <c r="D301" s="6" t="n"/>
      <c r="H301" s="5" t="n"/>
      <c r="I301" s="5" t="n"/>
    </row>
    <row r="302">
      <c r="D302" s="6" t="n"/>
      <c r="H302" s="5" t="n"/>
      <c r="I302" s="5" t="n"/>
    </row>
    <row r="303">
      <c r="D303" s="6" t="n"/>
      <c r="H303" s="5" t="n"/>
      <c r="I303" s="5" t="n"/>
    </row>
    <row r="304">
      <c r="D304" s="6" t="n"/>
      <c r="H304" s="5" t="n"/>
      <c r="I304" s="5" t="n"/>
    </row>
    <row r="305">
      <c r="D305" s="6" t="n"/>
      <c r="H305" s="5" t="n"/>
      <c r="I305" s="5" t="n"/>
    </row>
    <row r="306">
      <c r="D306" s="6" t="n"/>
      <c r="H306" s="5" t="n"/>
      <c r="I306" s="5" t="n"/>
    </row>
    <row r="307">
      <c r="D307" s="6" t="n"/>
      <c r="H307" s="5" t="n"/>
      <c r="I307" s="5" t="n"/>
    </row>
    <row r="308">
      <c r="D308" s="6" t="n"/>
      <c r="H308" s="5" t="n"/>
      <c r="I308" s="5" t="n"/>
    </row>
    <row r="309">
      <c r="D309" s="6" t="n"/>
      <c r="H309" s="5" t="n"/>
      <c r="I309" s="5" t="n"/>
    </row>
    <row r="310">
      <c r="D310" s="6" t="n"/>
      <c r="H310" s="5" t="n"/>
      <c r="I310" s="5" t="n"/>
    </row>
    <row r="311">
      <c r="D311" s="6" t="n"/>
      <c r="H311" s="5" t="n"/>
      <c r="I311" s="5" t="n"/>
    </row>
    <row r="312">
      <c r="D312" s="6" t="n"/>
      <c r="H312" s="5" t="n"/>
      <c r="I312" s="5" t="n"/>
    </row>
    <row r="313">
      <c r="D313" s="6" t="n"/>
      <c r="H313" s="5" t="n"/>
      <c r="I313" s="5" t="n"/>
    </row>
    <row r="314">
      <c r="D314" s="6" t="n"/>
      <c r="H314" s="5" t="n"/>
      <c r="I314" s="5" t="n"/>
    </row>
    <row r="315">
      <c r="D315" s="6" t="n"/>
      <c r="H315" s="5" t="n"/>
      <c r="I315" s="5" t="n"/>
    </row>
    <row r="316">
      <c r="D316" s="6" t="n"/>
      <c r="H316" s="5" t="n"/>
      <c r="I316" s="5" t="n"/>
    </row>
    <row r="317">
      <c r="D317" s="6" t="n"/>
      <c r="H317" s="5" t="n"/>
      <c r="I317" s="5" t="n"/>
    </row>
    <row r="318">
      <c r="D318" s="6" t="n"/>
      <c r="H318" s="5" t="n"/>
      <c r="I318" s="5" t="n"/>
    </row>
    <row r="319">
      <c r="D319" s="6" t="n"/>
      <c r="H319" s="5" t="n"/>
      <c r="I319" s="5" t="n"/>
    </row>
    <row r="320">
      <c r="D320" s="6" t="n"/>
      <c r="H320" s="5" t="n"/>
      <c r="I320" s="5" t="n"/>
    </row>
    <row r="321">
      <c r="D321" s="6" t="n"/>
      <c r="H321" s="5" t="n"/>
      <c r="I321" s="5" t="n"/>
    </row>
    <row r="322">
      <c r="D322" s="6" t="n"/>
      <c r="H322" s="5" t="n"/>
      <c r="I322" s="5" t="n"/>
    </row>
    <row r="323">
      <c r="D323" s="6" t="n"/>
      <c r="H323" s="5" t="n"/>
      <c r="I323" s="5" t="n"/>
    </row>
    <row r="324">
      <c r="D324" s="6" t="n"/>
      <c r="H324" s="5" t="n"/>
      <c r="I324" s="5" t="n"/>
    </row>
    <row r="325">
      <c r="D325" s="6" t="n"/>
      <c r="H325" s="5" t="n"/>
      <c r="I325" s="5" t="n"/>
    </row>
    <row r="326">
      <c r="D326" s="6" t="n"/>
      <c r="H326" s="5" t="n"/>
      <c r="I326" s="5" t="n"/>
    </row>
    <row r="327">
      <c r="D327" s="6" t="n"/>
      <c r="H327" s="5" t="n"/>
      <c r="I327" s="5" t="n"/>
    </row>
    <row r="328">
      <c r="D328" s="6" t="n"/>
      <c r="H328" s="5" t="n"/>
      <c r="I328" s="5" t="n"/>
    </row>
    <row r="329">
      <c r="D329" s="6" t="n"/>
      <c r="H329" s="5" t="n"/>
      <c r="I329" s="5" t="n"/>
    </row>
    <row r="330">
      <c r="D330" s="6" t="n"/>
      <c r="H330" s="5" t="n"/>
      <c r="I330" s="5" t="n"/>
    </row>
    <row r="331">
      <c r="D331" s="6" t="n"/>
      <c r="H331" s="5" t="n"/>
      <c r="I331" s="5" t="n"/>
    </row>
    <row r="332">
      <c r="D332" s="6" t="n"/>
      <c r="H332" s="5" t="n"/>
      <c r="I332" s="5" t="n"/>
    </row>
    <row r="333">
      <c r="D333" s="6" t="n"/>
      <c r="H333" s="5" t="n"/>
      <c r="I333" s="5" t="n"/>
    </row>
    <row r="334">
      <c r="D334" s="6" t="n"/>
      <c r="H334" s="5" t="n"/>
      <c r="I334" s="5" t="n"/>
    </row>
    <row r="335">
      <c r="D335" s="6" t="n"/>
      <c r="H335" s="5" t="n"/>
      <c r="I335" s="5" t="n"/>
    </row>
    <row r="336">
      <c r="D336" s="6" t="n"/>
      <c r="H336" s="5" t="n"/>
      <c r="I336" s="5" t="n"/>
    </row>
    <row r="337">
      <c r="D337" s="6" t="n"/>
      <c r="H337" s="5" t="n"/>
      <c r="I337" s="5" t="n"/>
    </row>
    <row r="338">
      <c r="D338" s="6" t="n"/>
      <c r="H338" s="5" t="n"/>
      <c r="I338" s="5" t="n"/>
    </row>
    <row r="339">
      <c r="D339" s="6" t="n"/>
      <c r="H339" s="5" t="n"/>
      <c r="I339" s="5" t="n"/>
    </row>
    <row r="340">
      <c r="D340" s="6" t="n"/>
      <c r="H340" s="5" t="n"/>
      <c r="I340" s="5" t="n"/>
    </row>
    <row r="341">
      <c r="D341" s="6" t="n"/>
      <c r="H341" s="5" t="n"/>
      <c r="I341" s="5" t="n"/>
    </row>
    <row r="342">
      <c r="D342" s="6" t="n"/>
      <c r="H342" s="5" t="n"/>
      <c r="I342" s="5" t="n"/>
    </row>
    <row r="343">
      <c r="D343" s="6" t="n"/>
      <c r="H343" s="5" t="n"/>
      <c r="I343" s="5" t="n"/>
    </row>
    <row r="344">
      <c r="D344" s="6" t="n"/>
      <c r="H344" s="5" t="n"/>
      <c r="I344" s="5" t="n"/>
    </row>
    <row r="345">
      <c r="D345" s="6" t="n"/>
      <c r="H345" s="5" t="n"/>
      <c r="I345" s="5" t="n"/>
    </row>
    <row r="346">
      <c r="D346" s="6" t="n"/>
      <c r="H346" s="5" t="n"/>
      <c r="I346" s="5" t="n"/>
    </row>
    <row r="347">
      <c r="D347" s="6" t="n"/>
      <c r="H347" s="5" t="n"/>
      <c r="I347" s="5" t="n"/>
    </row>
    <row r="348">
      <c r="D348" s="6" t="n"/>
      <c r="H348" s="5" t="n"/>
      <c r="I348" s="5" t="n"/>
    </row>
    <row r="349">
      <c r="D349" s="6" t="n"/>
      <c r="H349" s="5" t="n"/>
      <c r="I349" s="5" t="n"/>
    </row>
    <row r="350">
      <c r="D350" s="6" t="n"/>
      <c r="H350" s="5" t="n"/>
      <c r="I350" s="5" t="n"/>
    </row>
    <row r="351">
      <c r="D351" s="6" t="n"/>
      <c r="H351" s="5" t="n"/>
      <c r="I351" s="5" t="n"/>
    </row>
    <row r="352">
      <c r="D352" s="6" t="n"/>
      <c r="H352" s="5" t="n"/>
      <c r="I352" s="5" t="n"/>
    </row>
    <row r="353">
      <c r="D353" s="6" t="n"/>
      <c r="H353" s="5" t="n"/>
      <c r="I353" s="5" t="n"/>
    </row>
    <row r="354">
      <c r="D354" s="6" t="n"/>
      <c r="H354" s="5" t="n"/>
      <c r="I354" s="5" t="n"/>
    </row>
    <row r="355">
      <c r="D355" s="6" t="n"/>
      <c r="H355" s="5" t="n"/>
      <c r="I355" s="5" t="n"/>
    </row>
    <row r="356">
      <c r="D356" s="6" t="n"/>
      <c r="H356" s="5" t="n"/>
      <c r="I356" s="5" t="n"/>
    </row>
    <row r="357">
      <c r="D357" s="6" t="n"/>
      <c r="H357" s="5" t="n"/>
      <c r="I357" s="5" t="n"/>
    </row>
    <row r="358">
      <c r="D358" s="6" t="n"/>
      <c r="H358" s="5" t="n"/>
      <c r="I358" s="5" t="n"/>
    </row>
    <row r="359">
      <c r="D359" s="6" t="n"/>
      <c r="H359" s="5" t="n"/>
      <c r="I359" s="5" t="n"/>
    </row>
    <row r="360">
      <c r="D360" s="6" t="n"/>
      <c r="H360" s="5" t="n"/>
      <c r="I360" s="5" t="n"/>
    </row>
    <row r="361">
      <c r="D361" s="6" t="n"/>
      <c r="H361" s="5" t="n"/>
      <c r="I361" s="5" t="n"/>
    </row>
    <row r="362">
      <c r="D362" s="6" t="n"/>
      <c r="H362" s="5" t="n"/>
      <c r="I362" s="5" t="n"/>
    </row>
    <row r="363">
      <c r="D363" s="6" t="n"/>
      <c r="H363" s="5" t="n"/>
      <c r="I363" s="5" t="n"/>
    </row>
    <row r="364">
      <c r="D364" s="6" t="n"/>
      <c r="H364" s="5" t="n"/>
      <c r="I364" s="5" t="n"/>
    </row>
    <row r="365">
      <c r="D365" s="6" t="n"/>
      <c r="H365" s="5" t="n"/>
      <c r="I365" s="5" t="n"/>
    </row>
    <row r="366">
      <c r="D366" s="6" t="n"/>
      <c r="H366" s="5" t="n"/>
      <c r="I366" s="5" t="n"/>
    </row>
    <row r="367">
      <c r="D367" s="6" t="n"/>
      <c r="H367" s="5" t="n"/>
      <c r="I367" s="5" t="n"/>
    </row>
    <row r="368">
      <c r="D368" s="6" t="n"/>
      <c r="H368" s="5" t="n"/>
      <c r="I368" s="5" t="n"/>
    </row>
    <row r="369">
      <c r="D369" s="6" t="n"/>
      <c r="H369" s="5" t="n"/>
      <c r="I369" s="5" t="n"/>
    </row>
    <row r="370">
      <c r="D370" s="6" t="n"/>
      <c r="H370" s="5" t="n"/>
      <c r="I370" s="5" t="n"/>
    </row>
    <row r="371">
      <c r="D371" s="6" t="n"/>
      <c r="H371" s="5" t="n"/>
      <c r="I371" s="5" t="n"/>
    </row>
    <row r="372">
      <c r="D372" s="6" t="n"/>
      <c r="H372" s="5" t="n"/>
      <c r="I372" s="5" t="n"/>
    </row>
    <row r="373">
      <c r="D373" s="6" t="n"/>
      <c r="H373" s="5" t="n"/>
      <c r="I373" s="5" t="n"/>
    </row>
    <row r="374">
      <c r="D374" s="6" t="n"/>
      <c r="H374" s="5" t="n"/>
      <c r="I374" s="5" t="n"/>
    </row>
    <row r="375">
      <c r="D375" s="6" t="n"/>
      <c r="H375" s="5" t="n"/>
      <c r="I375" s="5" t="n"/>
    </row>
    <row r="376">
      <c r="D376" s="6" t="n"/>
      <c r="H376" s="5" t="n"/>
      <c r="I376" s="5" t="n"/>
    </row>
    <row r="377">
      <c r="D377" s="6" t="n"/>
      <c r="H377" s="5" t="n"/>
      <c r="I377" s="5" t="n"/>
    </row>
    <row r="378">
      <c r="D378" s="6" t="n"/>
      <c r="H378" s="5" t="n"/>
      <c r="I378" s="5" t="n"/>
    </row>
    <row r="379">
      <c r="D379" s="6" t="n"/>
      <c r="H379" s="5" t="n"/>
      <c r="I379" s="5" t="n"/>
    </row>
    <row r="380">
      <c r="D380" s="6" t="n"/>
      <c r="H380" s="5" t="n"/>
      <c r="I380" s="5" t="n"/>
    </row>
    <row r="381">
      <c r="D381" s="6" t="n"/>
      <c r="H381" s="5" t="n"/>
      <c r="I381" s="5" t="n"/>
    </row>
    <row r="382">
      <c r="D382" s="6" t="n"/>
      <c r="H382" s="5" t="n"/>
      <c r="I382" s="5" t="n"/>
    </row>
    <row r="383">
      <c r="D383" s="6" t="n"/>
      <c r="H383" s="5" t="n"/>
      <c r="I383" s="5" t="n"/>
    </row>
    <row r="384">
      <c r="D384" s="6" t="n"/>
      <c r="H384" s="5" t="n"/>
      <c r="I384" s="5" t="n"/>
    </row>
    <row r="385">
      <c r="D385" s="6" t="n"/>
      <c r="H385" s="5" t="n"/>
      <c r="I385" s="5" t="n"/>
    </row>
    <row r="386">
      <c r="D386" s="6" t="n"/>
      <c r="H386" s="5" t="n"/>
      <c r="I386" s="5" t="n"/>
    </row>
    <row r="387">
      <c r="D387" s="6" t="n"/>
      <c r="H387" s="5" t="n"/>
      <c r="I387" s="5" t="n"/>
    </row>
    <row r="388">
      <c r="D388" s="6" t="n"/>
      <c r="H388" s="5" t="n"/>
      <c r="I388" s="5" t="n"/>
    </row>
    <row r="389">
      <c r="D389" s="6" t="n"/>
      <c r="H389" s="5" t="n"/>
      <c r="I389" s="5" t="n"/>
    </row>
    <row r="390">
      <c r="D390" s="6" t="n"/>
      <c r="H390" s="5" t="n"/>
      <c r="I390" s="5" t="n"/>
    </row>
    <row r="391">
      <c r="D391" s="6" t="n"/>
      <c r="H391" s="5" t="n"/>
      <c r="I391" s="5" t="n"/>
    </row>
    <row r="392">
      <c r="D392" s="6" t="n"/>
      <c r="H392" s="5" t="n"/>
      <c r="I392" s="5" t="n"/>
    </row>
    <row r="393">
      <c r="D393" s="6" t="n"/>
      <c r="H393" s="5" t="n"/>
      <c r="I393" s="5" t="n"/>
    </row>
    <row r="394">
      <c r="D394" s="6" t="n"/>
      <c r="H394" s="5" t="n"/>
      <c r="I394" s="5" t="n"/>
    </row>
    <row r="395">
      <c r="D395" s="6" t="n"/>
      <c r="H395" s="5" t="n"/>
      <c r="I395" s="5" t="n"/>
    </row>
    <row r="396">
      <c r="D396" s="6" t="n"/>
      <c r="H396" s="5" t="n"/>
      <c r="I396" s="5" t="n"/>
    </row>
    <row r="397">
      <c r="D397" s="6" t="n"/>
      <c r="H397" s="5" t="n"/>
      <c r="I397" s="5" t="n"/>
    </row>
    <row r="398">
      <c r="D398" s="6" t="n"/>
      <c r="H398" s="5" t="n"/>
      <c r="I398" s="5" t="n"/>
    </row>
    <row r="399">
      <c r="D399" s="6" t="n"/>
      <c r="H399" s="5" t="n"/>
      <c r="I399" s="5" t="n"/>
    </row>
    <row r="400">
      <c r="D400" s="6" t="n"/>
      <c r="H400" s="5" t="n"/>
      <c r="I400" s="5" t="n"/>
    </row>
    <row r="401">
      <c r="D401" s="6" t="n"/>
      <c r="H401" s="5" t="n"/>
      <c r="I401" s="5" t="n"/>
    </row>
    <row r="402">
      <c r="D402" s="6" t="n"/>
      <c r="H402" s="5" t="n"/>
      <c r="I402" s="5" t="n"/>
    </row>
    <row r="403">
      <c r="D403" s="6" t="n"/>
      <c r="H403" s="5" t="n"/>
      <c r="I403" s="5" t="n"/>
    </row>
    <row r="404">
      <c r="D404" s="6" t="n"/>
      <c r="H404" s="5" t="n"/>
      <c r="I404" s="5" t="n"/>
    </row>
    <row r="405">
      <c r="D405" s="6" t="n"/>
      <c r="H405" s="5" t="n"/>
      <c r="I405" s="5" t="n"/>
    </row>
    <row r="406">
      <c r="D406" s="6" t="n"/>
      <c r="H406" s="5" t="n"/>
      <c r="I406" s="5" t="n"/>
    </row>
    <row r="407">
      <c r="D407" s="6" t="n"/>
      <c r="H407" s="5" t="n"/>
      <c r="I407" s="5" t="n"/>
    </row>
    <row r="408">
      <c r="D408" s="6" t="n"/>
      <c r="H408" s="5" t="n"/>
      <c r="I408" s="5" t="n"/>
    </row>
    <row r="409">
      <c r="D409" s="6" t="n"/>
      <c r="H409" s="5" t="n"/>
      <c r="I409" s="5" t="n"/>
    </row>
    <row r="410">
      <c r="D410" s="6" t="n"/>
      <c r="H410" s="5" t="n"/>
      <c r="I410" s="5" t="n"/>
    </row>
    <row r="411">
      <c r="D411" s="6" t="n"/>
      <c r="H411" s="5" t="n"/>
      <c r="I411" s="5" t="n"/>
    </row>
    <row r="412">
      <c r="D412" s="6" t="n"/>
      <c r="H412" s="5" t="n"/>
      <c r="I412" s="5" t="n"/>
    </row>
    <row r="413">
      <c r="D413" s="6" t="n"/>
      <c r="H413" s="5" t="n"/>
      <c r="I413" s="5" t="n"/>
    </row>
    <row r="414">
      <c r="D414" s="6" t="n"/>
      <c r="H414" s="5" t="n"/>
      <c r="I414" s="5" t="n"/>
    </row>
    <row r="415">
      <c r="D415" s="6" t="n"/>
      <c r="H415" s="5" t="n"/>
      <c r="I415" s="5" t="n"/>
    </row>
    <row r="416">
      <c r="D416" s="6" t="n"/>
      <c r="H416" s="5" t="n"/>
      <c r="I416" s="5" t="n"/>
    </row>
    <row r="417">
      <c r="D417" s="6" t="n"/>
      <c r="H417" s="5" t="n"/>
      <c r="I417" s="5" t="n"/>
    </row>
    <row r="418">
      <c r="D418" s="6" t="n"/>
      <c r="H418" s="5" t="n"/>
      <c r="I418" s="5" t="n"/>
    </row>
    <row r="419">
      <c r="D419" s="6" t="n"/>
      <c r="H419" s="5" t="n"/>
      <c r="I419" s="5" t="n"/>
    </row>
    <row r="420">
      <c r="D420" s="6" t="n"/>
      <c r="H420" s="5" t="n"/>
      <c r="I420" s="5" t="n"/>
    </row>
    <row r="421">
      <c r="D421" s="6" t="n"/>
      <c r="H421" s="5" t="n"/>
      <c r="I421" s="5" t="n"/>
    </row>
    <row r="422">
      <c r="D422" s="6" t="n"/>
      <c r="H422" s="5" t="n"/>
      <c r="I422" s="5" t="n"/>
    </row>
    <row r="423">
      <c r="D423" s="6" t="n"/>
      <c r="H423" s="5" t="n"/>
      <c r="I423" s="5" t="n"/>
    </row>
    <row r="424">
      <c r="D424" s="6" t="n"/>
      <c r="H424" s="5" t="n"/>
      <c r="I424" s="5" t="n"/>
    </row>
    <row r="425">
      <c r="D425" s="6" t="n"/>
      <c r="H425" s="5" t="n"/>
      <c r="I425" s="5" t="n"/>
    </row>
    <row r="426">
      <c r="D426" s="6" t="n"/>
      <c r="H426" s="5" t="n"/>
      <c r="I426" s="5" t="n"/>
    </row>
    <row r="427">
      <c r="D427" s="6" t="n"/>
      <c r="H427" s="5" t="n"/>
      <c r="I427" s="5" t="n"/>
    </row>
    <row r="428">
      <c r="D428" s="6" t="n"/>
      <c r="H428" s="5" t="n"/>
      <c r="I428" s="5" t="n"/>
    </row>
    <row r="429">
      <c r="D429" s="6" t="n"/>
      <c r="H429" s="5" t="n"/>
      <c r="I429" s="5" t="n"/>
    </row>
    <row r="430">
      <c r="D430" s="6" t="n"/>
      <c r="H430" s="5" t="n"/>
      <c r="I430" s="5" t="n"/>
    </row>
    <row r="431">
      <c r="D431" s="6" t="n"/>
      <c r="H431" s="5" t="n"/>
      <c r="I431" s="5" t="n"/>
    </row>
    <row r="432">
      <c r="D432" s="6" t="n"/>
      <c r="H432" s="5" t="n"/>
      <c r="I432" s="5" t="n"/>
    </row>
    <row r="433">
      <c r="D433" s="6" t="n"/>
      <c r="H433" s="5" t="n"/>
      <c r="I433" s="5" t="n"/>
    </row>
    <row r="434">
      <c r="D434" s="6" t="n"/>
      <c r="H434" s="5" t="n"/>
      <c r="I434" s="5" t="n"/>
    </row>
    <row r="435">
      <c r="D435" s="6" t="n"/>
      <c r="H435" s="5" t="n"/>
      <c r="I435" s="5" t="n"/>
    </row>
    <row r="436">
      <c r="D436" s="6" t="n"/>
      <c r="H436" s="5" t="n"/>
      <c r="I436" s="5" t="n"/>
    </row>
    <row r="437">
      <c r="D437" s="6" t="n"/>
      <c r="H437" s="5" t="n"/>
      <c r="I437" s="5" t="n"/>
    </row>
    <row r="438">
      <c r="D438" s="6" t="n"/>
      <c r="H438" s="5" t="n"/>
      <c r="I438" s="5" t="n"/>
    </row>
    <row r="439">
      <c r="D439" s="6" t="n"/>
      <c r="H439" s="5" t="n"/>
      <c r="I439" s="5" t="n"/>
    </row>
    <row r="440">
      <c r="D440" s="6" t="n"/>
      <c r="H440" s="5" t="n"/>
      <c r="I440" s="5" t="n"/>
    </row>
    <row r="441">
      <c r="D441" s="6" t="n"/>
      <c r="H441" s="5" t="n"/>
      <c r="I441" s="5" t="n"/>
    </row>
    <row r="442">
      <c r="D442" s="6" t="n"/>
      <c r="H442" s="5" t="n"/>
      <c r="I442" s="5" t="n"/>
    </row>
    <row r="443">
      <c r="D443" s="6" t="n"/>
      <c r="H443" s="5" t="n"/>
      <c r="I443" s="5" t="n"/>
    </row>
    <row r="444">
      <c r="D444" s="6" t="n"/>
      <c r="H444" s="5" t="n"/>
      <c r="I444" s="5" t="n"/>
    </row>
    <row r="445">
      <c r="D445" s="6" t="n"/>
      <c r="H445" s="5" t="n"/>
      <c r="I445" s="5" t="n"/>
    </row>
    <row r="446">
      <c r="D446" s="6" t="n"/>
      <c r="H446" s="5" t="n"/>
      <c r="I446" s="5" t="n"/>
    </row>
    <row r="447">
      <c r="D447" s="6" t="n"/>
      <c r="H447" s="5" t="n"/>
      <c r="I447" s="5" t="n"/>
    </row>
    <row r="448">
      <c r="D448" s="6" t="n"/>
      <c r="H448" s="5" t="n"/>
      <c r="I448" s="5" t="n"/>
    </row>
    <row r="449">
      <c r="D449" s="6" t="n"/>
      <c r="H449" s="5" t="n"/>
      <c r="I449" s="5" t="n"/>
    </row>
    <row r="450">
      <c r="D450" s="6" t="n"/>
      <c r="H450" s="5" t="n"/>
      <c r="I450" s="5" t="n"/>
    </row>
    <row r="451">
      <c r="D451" s="6" t="n"/>
      <c r="H451" s="5" t="n"/>
      <c r="I451" s="5" t="n"/>
    </row>
    <row r="452">
      <c r="D452" s="6" t="n"/>
      <c r="H452" s="5" t="n"/>
      <c r="I452" s="5" t="n"/>
    </row>
    <row r="453">
      <c r="D453" s="6" t="n"/>
      <c r="H453" s="5" t="n"/>
      <c r="I453" s="5" t="n"/>
    </row>
    <row r="454">
      <c r="D454" s="6" t="n"/>
      <c r="H454" s="5" t="n"/>
      <c r="I454" s="5" t="n"/>
    </row>
    <row r="455">
      <c r="D455" s="6" t="n"/>
      <c r="H455" s="5" t="n"/>
      <c r="I455" s="5" t="n"/>
    </row>
    <row r="456">
      <c r="D456" s="6" t="n"/>
      <c r="H456" s="5" t="n"/>
      <c r="I456" s="5" t="n"/>
    </row>
    <row r="457">
      <c r="D457" s="6" t="n"/>
      <c r="H457" s="5" t="n"/>
      <c r="I457" s="5" t="n"/>
    </row>
    <row r="458">
      <c r="D458" s="6" t="n"/>
      <c r="H458" s="5" t="n"/>
      <c r="I458" s="5" t="n"/>
    </row>
    <row r="459">
      <c r="D459" s="6" t="n"/>
      <c r="H459" s="5" t="n"/>
      <c r="I459" s="5" t="n"/>
    </row>
    <row r="460">
      <c r="D460" s="6" t="n"/>
      <c r="H460" s="5" t="n"/>
      <c r="I460" s="5" t="n"/>
    </row>
    <row r="461">
      <c r="D461" s="6" t="n"/>
      <c r="H461" s="5" t="n"/>
      <c r="I461" s="5" t="n"/>
    </row>
    <row r="462">
      <c r="D462" s="6" t="n"/>
      <c r="H462" s="5" t="n"/>
      <c r="I462" s="5" t="n"/>
    </row>
    <row r="463">
      <c r="D463" s="6" t="n"/>
      <c r="H463" s="5" t="n"/>
      <c r="I463" s="5" t="n"/>
    </row>
    <row r="464">
      <c r="D464" s="6" t="n"/>
      <c r="H464" s="5" t="n"/>
      <c r="I464" s="5" t="n"/>
    </row>
    <row r="465">
      <c r="D465" s="6" t="n"/>
      <c r="H465" s="5" t="n"/>
      <c r="I465" s="5" t="n"/>
    </row>
    <row r="466">
      <c r="D466" s="6" t="n"/>
      <c r="H466" s="5" t="n"/>
      <c r="I466" s="5" t="n"/>
    </row>
    <row r="467">
      <c r="D467" s="6" t="n"/>
      <c r="H467" s="5" t="n"/>
      <c r="I467" s="5" t="n"/>
    </row>
    <row r="468">
      <c r="D468" s="6" t="n"/>
      <c r="H468" s="5" t="n"/>
      <c r="I468" s="5" t="n"/>
    </row>
    <row r="469">
      <c r="D469" s="6" t="n"/>
      <c r="H469" s="5" t="n"/>
      <c r="I469" s="5" t="n"/>
    </row>
    <row r="470">
      <c r="D470" s="6" t="n"/>
      <c r="H470" s="5" t="n"/>
      <c r="I470" s="5" t="n"/>
    </row>
    <row r="471">
      <c r="D471" s="6" t="n"/>
      <c r="H471" s="5" t="n"/>
      <c r="I471" s="5" t="n"/>
    </row>
    <row r="472">
      <c r="D472" s="6" t="n"/>
      <c r="H472" s="5" t="n"/>
      <c r="I472" s="5" t="n"/>
    </row>
    <row r="473">
      <c r="D473" s="6" t="n"/>
      <c r="H473" s="5" t="n"/>
      <c r="I473" s="5" t="n"/>
    </row>
    <row r="474">
      <c r="D474" s="6" t="n"/>
      <c r="H474" s="5" t="n"/>
      <c r="I474" s="5" t="n"/>
    </row>
    <row r="475">
      <c r="D475" s="6" t="n"/>
      <c r="H475" s="5" t="n"/>
      <c r="I475" s="5" t="n"/>
    </row>
    <row r="476">
      <c r="D476" s="6" t="n"/>
      <c r="H476" s="5" t="n"/>
      <c r="I476" s="5" t="n"/>
    </row>
    <row r="477">
      <c r="D477" s="6" t="n"/>
      <c r="H477" s="5" t="n"/>
      <c r="I477" s="5" t="n"/>
    </row>
    <row r="478">
      <c r="D478" s="6" t="n"/>
      <c r="H478" s="5" t="n"/>
      <c r="I478" s="5" t="n"/>
    </row>
    <row r="479">
      <c r="D479" s="6" t="n"/>
      <c r="H479" s="5" t="n"/>
      <c r="I479" s="5" t="n"/>
    </row>
    <row r="480">
      <c r="D480" s="6" t="n"/>
      <c r="H480" s="5" t="n"/>
      <c r="I480" s="5" t="n"/>
    </row>
    <row r="481">
      <c r="D481" s="6" t="n"/>
      <c r="H481" s="5" t="n"/>
      <c r="I481" s="5" t="n"/>
    </row>
    <row r="482">
      <c r="D482" s="6" t="n"/>
      <c r="H482" s="5" t="n"/>
      <c r="I482" s="5" t="n"/>
    </row>
    <row r="483">
      <c r="D483" s="6" t="n"/>
      <c r="H483" s="5" t="n"/>
      <c r="I483" s="5" t="n"/>
    </row>
    <row r="484">
      <c r="D484" s="6" t="n"/>
      <c r="H484" s="5" t="n"/>
      <c r="I484" s="5" t="n"/>
    </row>
    <row r="485">
      <c r="D485" s="6" t="n"/>
      <c r="H485" s="5" t="n"/>
      <c r="I485" s="5" t="n"/>
    </row>
    <row r="486">
      <c r="D486" s="6" t="n"/>
      <c r="H486" s="5" t="n"/>
      <c r="I486" s="5" t="n"/>
    </row>
    <row r="487">
      <c r="D487" s="6" t="n"/>
      <c r="H487" s="5" t="n"/>
      <c r="I487" s="5" t="n"/>
    </row>
    <row r="488">
      <c r="D488" s="6" t="n"/>
      <c r="H488" s="5" t="n"/>
      <c r="I488" s="5" t="n"/>
    </row>
    <row r="489">
      <c r="D489" s="6" t="n"/>
      <c r="H489" s="5" t="n"/>
      <c r="I489" s="5" t="n"/>
    </row>
    <row r="490">
      <c r="D490" s="6" t="n"/>
      <c r="H490" s="5" t="n"/>
      <c r="I490" s="5" t="n"/>
    </row>
    <row r="491">
      <c r="D491" s="6" t="n"/>
      <c r="H491" s="5" t="n"/>
      <c r="I491" s="5" t="n"/>
    </row>
    <row r="492">
      <c r="D492" s="6" t="n"/>
      <c r="H492" s="5" t="n"/>
      <c r="I492" s="5" t="n"/>
    </row>
    <row r="493">
      <c r="D493" s="6" t="n"/>
      <c r="H493" s="5" t="n"/>
      <c r="I493" s="5" t="n"/>
    </row>
    <row r="494">
      <c r="D494" s="6" t="n"/>
      <c r="H494" s="5" t="n"/>
      <c r="I494" s="5" t="n"/>
    </row>
    <row r="495">
      <c r="D495" s="6" t="n"/>
      <c r="H495" s="5" t="n"/>
      <c r="I495" s="5" t="n"/>
    </row>
    <row r="496">
      <c r="D496" s="6" t="n"/>
      <c r="H496" s="5" t="n"/>
      <c r="I496" s="5" t="n"/>
    </row>
    <row r="497">
      <c r="D497" s="6" t="n"/>
      <c r="H497" s="5" t="n"/>
      <c r="I497" s="5" t="n"/>
    </row>
    <row r="498">
      <c r="D498" s="6" t="n"/>
      <c r="H498" s="5" t="n"/>
      <c r="I498" s="5" t="n"/>
    </row>
    <row r="499">
      <c r="D499" s="6" t="n"/>
      <c r="H499" s="5" t="n"/>
      <c r="I499" s="5" t="n"/>
    </row>
    <row r="500">
      <c r="D500" s="6" t="n"/>
      <c r="H500" s="5" t="n"/>
      <c r="I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10" customWidth="1" min="9" max="9"/>
    <col width="14" customWidth="1" min="10" max="10"/>
    <col width="11" customWidth="1" min="11" max="11"/>
    <col width="18" customWidth="1" min="12" max="12"/>
    <col width="27" customWidth="1" min="13" max="13"/>
    <col width="30" customWidth="1" min="14" max="14"/>
    <col width="16" customWidth="1" min="15" max="15"/>
    <col width="10" customWidth="1" min="16" max="16"/>
    <col width="13" customWidth="1" min="17" max="17"/>
  </cols>
  <sheetData>
    <row r="1" ht="22" customHeight="1">
      <c r="A1" s="4" t="inlineStr">
        <is>
          <t>AssetID</t>
        </is>
      </c>
      <c r="B1" s="4" t="inlineStr">
        <is>
          <t>ClientID</t>
        </is>
      </c>
      <c r="C1" s="4" t="inlineStr">
        <is>
          <t>AssetClass</t>
        </is>
      </c>
      <c r="D1" s="4" t="inlineStr">
        <is>
          <t>Provider</t>
        </is>
      </c>
      <c r="E1" s="4" t="inlineStr">
        <is>
          <t>Platform</t>
        </is>
      </c>
      <c r="F1" s="4" t="inlineStr">
        <is>
          <t>AccountName</t>
        </is>
      </c>
      <c r="G1" s="4" t="inlineStr">
        <is>
          <t>AccountNumberLast4</t>
        </is>
      </c>
      <c r="H1" s="4" t="inlineStr">
        <is>
          <t>CountryHeld</t>
        </is>
      </c>
      <c r="I1" s="4" t="inlineStr">
        <is>
          <t>Currency</t>
        </is>
      </c>
      <c r="J1" s="4" t="inlineStr">
        <is>
          <t>CurrentValue</t>
        </is>
      </c>
      <c r="K1" s="4" t="inlineStr">
        <is>
          <t>CostBasis</t>
        </is>
      </c>
      <c r="L1" s="4" t="inlineStr">
        <is>
          <t>ContributionType</t>
        </is>
      </c>
      <c r="M1" s="4" t="inlineStr">
        <is>
          <t>RegularContributionAmount</t>
        </is>
      </c>
      <c r="N1" s="4" t="inlineStr">
        <is>
          <t>RegularContributionFrequency</t>
        </is>
      </c>
      <c r="O1" s="4" t="inlineStr">
        <is>
          <t>OwnershipSplit</t>
        </is>
      </c>
      <c r="P1" s="4" t="inlineStr">
        <is>
          <t>Notes</t>
        </is>
      </c>
      <c r="Q1" s="4" t="inlineStr">
        <is>
          <t>DataQuality</t>
        </is>
      </c>
      <c r="R1" t="inlineStr">
        <is>
          <t>IncludeInRetirementPlan</t>
        </is>
      </c>
    </row>
    <row r="2">
      <c r="J2" s="6" t="n"/>
      <c r="K2" s="6" t="n"/>
      <c r="M2" s="6" t="n"/>
    </row>
    <row r="3">
      <c r="J3" s="6" t="n"/>
      <c r="K3" s="6" t="n"/>
      <c r="M3" s="6" t="n"/>
    </row>
    <row r="4">
      <c r="J4" s="6" t="n"/>
      <c r="K4" s="6" t="n"/>
      <c r="M4" s="6" t="n"/>
    </row>
    <row r="5">
      <c r="J5" s="6" t="n"/>
      <c r="K5" s="6" t="n"/>
      <c r="M5" s="6" t="n"/>
    </row>
    <row r="6">
      <c r="J6" s="6" t="n"/>
      <c r="K6" s="6" t="n"/>
      <c r="M6" s="6" t="n"/>
    </row>
    <row r="7">
      <c r="J7" s="6" t="n"/>
      <c r="K7" s="6" t="n"/>
      <c r="M7" s="6" t="n"/>
    </row>
    <row r="8">
      <c r="J8" s="6" t="n"/>
      <c r="K8" s="6" t="n"/>
      <c r="M8" s="6" t="n"/>
    </row>
    <row r="9">
      <c r="J9" s="6" t="n"/>
      <c r="K9" s="6" t="n"/>
      <c r="M9" s="6" t="n"/>
    </row>
    <row r="10">
      <c r="J10" s="6" t="n"/>
      <c r="K10" s="6" t="n"/>
      <c r="M10" s="6" t="n"/>
    </row>
    <row r="11">
      <c r="J11" s="6" t="n"/>
      <c r="K11" s="6" t="n"/>
      <c r="M11" s="6" t="n"/>
    </row>
    <row r="12">
      <c r="J12" s="6" t="n"/>
      <c r="K12" s="6" t="n"/>
      <c r="M12" s="6" t="n"/>
    </row>
    <row r="13">
      <c r="J13" s="6" t="n"/>
      <c r="K13" s="6" t="n"/>
      <c r="M13" s="6" t="n"/>
    </row>
    <row r="14">
      <c r="J14" s="6" t="n"/>
      <c r="K14" s="6" t="n"/>
      <c r="M14" s="6" t="n"/>
    </row>
    <row r="15">
      <c r="J15" s="6" t="n"/>
      <c r="K15" s="6" t="n"/>
      <c r="M15" s="6" t="n"/>
    </row>
    <row r="16">
      <c r="J16" s="6" t="n"/>
      <c r="K16" s="6" t="n"/>
      <c r="M16" s="6" t="n"/>
    </row>
    <row r="17">
      <c r="J17" s="6" t="n"/>
      <c r="K17" s="6" t="n"/>
      <c r="M17" s="6" t="n"/>
    </row>
    <row r="18">
      <c r="J18" s="6" t="n"/>
      <c r="K18" s="6" t="n"/>
      <c r="M18" s="6" t="n"/>
    </row>
    <row r="19">
      <c r="J19" s="6" t="n"/>
      <c r="K19" s="6" t="n"/>
      <c r="M19" s="6" t="n"/>
    </row>
    <row r="20">
      <c r="J20" s="6" t="n"/>
      <c r="K20" s="6" t="n"/>
      <c r="M20" s="6" t="n"/>
    </row>
    <row r="21">
      <c r="J21" s="6" t="n"/>
      <c r="K21" s="6" t="n"/>
      <c r="M21" s="6" t="n"/>
    </row>
    <row r="22">
      <c r="J22" s="6" t="n"/>
      <c r="K22" s="6" t="n"/>
      <c r="M22" s="6" t="n"/>
    </row>
    <row r="23">
      <c r="J23" s="6" t="n"/>
      <c r="K23" s="6" t="n"/>
      <c r="M23" s="6" t="n"/>
    </row>
    <row r="24">
      <c r="J24" s="6" t="n"/>
      <c r="K24" s="6" t="n"/>
      <c r="M24" s="6" t="n"/>
    </row>
    <row r="25">
      <c r="J25" s="6" t="n"/>
      <c r="K25" s="6" t="n"/>
      <c r="M25" s="6" t="n"/>
    </row>
    <row r="26">
      <c r="J26" s="6" t="n"/>
      <c r="K26" s="6" t="n"/>
      <c r="M26" s="6" t="n"/>
    </row>
    <row r="27">
      <c r="J27" s="6" t="n"/>
      <c r="K27" s="6" t="n"/>
      <c r="M27" s="6" t="n"/>
    </row>
    <row r="28">
      <c r="J28" s="6" t="n"/>
      <c r="K28" s="6" t="n"/>
      <c r="M28" s="6" t="n"/>
    </row>
    <row r="29">
      <c r="J29" s="6" t="n"/>
      <c r="K29" s="6" t="n"/>
      <c r="M29" s="6" t="n"/>
    </row>
    <row r="30">
      <c r="J30" s="6" t="n"/>
      <c r="K30" s="6" t="n"/>
      <c r="M30" s="6" t="n"/>
    </row>
    <row r="31">
      <c r="J31" s="6" t="n"/>
      <c r="K31" s="6" t="n"/>
      <c r="M31" s="6" t="n"/>
    </row>
    <row r="32">
      <c r="J32" s="6" t="n"/>
      <c r="K32" s="6" t="n"/>
      <c r="M32" s="6" t="n"/>
    </row>
    <row r="33">
      <c r="J33" s="6" t="n"/>
      <c r="K33" s="6" t="n"/>
      <c r="M33" s="6" t="n"/>
    </row>
    <row r="34">
      <c r="J34" s="6" t="n"/>
      <c r="K34" s="6" t="n"/>
      <c r="M34" s="6" t="n"/>
    </row>
    <row r="35">
      <c r="J35" s="6" t="n"/>
      <c r="K35" s="6" t="n"/>
      <c r="M35" s="6" t="n"/>
    </row>
    <row r="36">
      <c r="J36" s="6" t="n"/>
      <c r="K36" s="6" t="n"/>
      <c r="M36" s="6" t="n"/>
    </row>
    <row r="37">
      <c r="J37" s="6" t="n"/>
      <c r="K37" s="6" t="n"/>
      <c r="M37" s="6" t="n"/>
    </row>
    <row r="38">
      <c r="J38" s="6" t="n"/>
      <c r="K38" s="6" t="n"/>
      <c r="M38" s="6" t="n"/>
    </row>
    <row r="39">
      <c r="J39" s="6" t="n"/>
      <c r="K39" s="6" t="n"/>
      <c r="M39" s="6" t="n"/>
    </row>
    <row r="40">
      <c r="J40" s="6" t="n"/>
      <c r="K40" s="6" t="n"/>
      <c r="M40" s="6" t="n"/>
    </row>
    <row r="41">
      <c r="J41" s="6" t="n"/>
      <c r="K41" s="6" t="n"/>
      <c r="M41" s="6" t="n"/>
    </row>
    <row r="42">
      <c r="J42" s="6" t="n"/>
      <c r="K42" s="6" t="n"/>
      <c r="M42" s="6" t="n"/>
    </row>
    <row r="43">
      <c r="J43" s="6" t="n"/>
      <c r="K43" s="6" t="n"/>
      <c r="M43" s="6" t="n"/>
    </row>
    <row r="44">
      <c r="J44" s="6" t="n"/>
      <c r="K44" s="6" t="n"/>
      <c r="M44" s="6" t="n"/>
    </row>
    <row r="45">
      <c r="J45" s="6" t="n"/>
      <c r="K45" s="6" t="n"/>
      <c r="M45" s="6" t="n"/>
    </row>
    <row r="46">
      <c r="J46" s="6" t="n"/>
      <c r="K46" s="6" t="n"/>
      <c r="M46" s="6" t="n"/>
    </row>
    <row r="47">
      <c r="J47" s="6" t="n"/>
      <c r="K47" s="6" t="n"/>
      <c r="M47" s="6" t="n"/>
    </row>
    <row r="48">
      <c r="J48" s="6" t="n"/>
      <c r="K48" s="6" t="n"/>
      <c r="M48" s="6" t="n"/>
    </row>
    <row r="49">
      <c r="J49" s="6" t="n"/>
      <c r="K49" s="6" t="n"/>
      <c r="M49" s="6" t="n"/>
    </row>
    <row r="50">
      <c r="J50" s="6" t="n"/>
      <c r="K50" s="6" t="n"/>
      <c r="M50" s="6" t="n"/>
    </row>
    <row r="51">
      <c r="J51" s="6" t="n"/>
      <c r="K51" s="6" t="n"/>
      <c r="M51" s="6" t="n"/>
    </row>
    <row r="52">
      <c r="J52" s="6" t="n"/>
      <c r="K52" s="6" t="n"/>
      <c r="M52" s="6" t="n"/>
    </row>
    <row r="53">
      <c r="J53" s="6" t="n"/>
      <c r="K53" s="6" t="n"/>
      <c r="M53" s="6" t="n"/>
    </row>
    <row r="54">
      <c r="J54" s="6" t="n"/>
      <c r="K54" s="6" t="n"/>
      <c r="M54" s="6" t="n"/>
    </row>
    <row r="55">
      <c r="J55" s="6" t="n"/>
      <c r="K55" s="6" t="n"/>
      <c r="M55" s="6" t="n"/>
    </row>
    <row r="56">
      <c r="J56" s="6" t="n"/>
      <c r="K56" s="6" t="n"/>
      <c r="M56" s="6" t="n"/>
    </row>
    <row r="57">
      <c r="J57" s="6" t="n"/>
      <c r="K57" s="6" t="n"/>
      <c r="M57" s="6" t="n"/>
    </row>
    <row r="58">
      <c r="J58" s="6" t="n"/>
      <c r="K58" s="6" t="n"/>
      <c r="M58" s="6" t="n"/>
    </row>
    <row r="59">
      <c r="J59" s="6" t="n"/>
      <c r="K59" s="6" t="n"/>
      <c r="M59" s="6" t="n"/>
    </row>
    <row r="60">
      <c r="J60" s="6" t="n"/>
      <c r="K60" s="6" t="n"/>
      <c r="M60" s="6" t="n"/>
    </row>
    <row r="61">
      <c r="J61" s="6" t="n"/>
      <c r="K61" s="6" t="n"/>
      <c r="M61" s="6" t="n"/>
    </row>
    <row r="62">
      <c r="J62" s="6" t="n"/>
      <c r="K62" s="6" t="n"/>
      <c r="M62" s="6" t="n"/>
    </row>
    <row r="63">
      <c r="J63" s="6" t="n"/>
      <c r="K63" s="6" t="n"/>
      <c r="M63" s="6" t="n"/>
    </row>
    <row r="64">
      <c r="J64" s="6" t="n"/>
      <c r="K64" s="6" t="n"/>
      <c r="M64" s="6" t="n"/>
    </row>
    <row r="65">
      <c r="J65" s="6" t="n"/>
      <c r="K65" s="6" t="n"/>
      <c r="M65" s="6" t="n"/>
    </row>
    <row r="66">
      <c r="J66" s="6" t="n"/>
      <c r="K66" s="6" t="n"/>
      <c r="M66" s="6" t="n"/>
    </row>
    <row r="67">
      <c r="J67" s="6" t="n"/>
      <c r="K67" s="6" t="n"/>
      <c r="M67" s="6" t="n"/>
    </row>
    <row r="68">
      <c r="J68" s="6" t="n"/>
      <c r="K68" s="6" t="n"/>
      <c r="M68" s="6" t="n"/>
    </row>
    <row r="69">
      <c r="J69" s="6" t="n"/>
      <c r="K69" s="6" t="n"/>
      <c r="M69" s="6" t="n"/>
    </row>
    <row r="70">
      <c r="J70" s="6" t="n"/>
      <c r="K70" s="6" t="n"/>
      <c r="M70" s="6" t="n"/>
    </row>
    <row r="71">
      <c r="J71" s="6" t="n"/>
      <c r="K71" s="6" t="n"/>
      <c r="M71" s="6" t="n"/>
    </row>
    <row r="72">
      <c r="J72" s="6" t="n"/>
      <c r="K72" s="6" t="n"/>
      <c r="M72" s="6" t="n"/>
    </row>
    <row r="73">
      <c r="J73" s="6" t="n"/>
      <c r="K73" s="6" t="n"/>
      <c r="M73" s="6" t="n"/>
    </row>
    <row r="74">
      <c r="J74" s="6" t="n"/>
      <c r="K74" s="6" t="n"/>
      <c r="M74" s="6" t="n"/>
    </row>
    <row r="75">
      <c r="J75" s="6" t="n"/>
      <c r="K75" s="6" t="n"/>
      <c r="M75" s="6" t="n"/>
    </row>
    <row r="76">
      <c r="J76" s="6" t="n"/>
      <c r="K76" s="6" t="n"/>
      <c r="M76" s="6" t="n"/>
    </row>
    <row r="77">
      <c r="J77" s="6" t="n"/>
      <c r="K77" s="6" t="n"/>
      <c r="M77" s="6" t="n"/>
    </row>
    <row r="78">
      <c r="J78" s="6" t="n"/>
      <c r="K78" s="6" t="n"/>
      <c r="M78" s="6" t="n"/>
    </row>
    <row r="79">
      <c r="J79" s="6" t="n"/>
      <c r="K79" s="6" t="n"/>
      <c r="M79" s="6" t="n"/>
    </row>
    <row r="80">
      <c r="J80" s="6" t="n"/>
      <c r="K80" s="6" t="n"/>
      <c r="M80" s="6" t="n"/>
    </row>
    <row r="81">
      <c r="J81" s="6" t="n"/>
      <c r="K81" s="6" t="n"/>
      <c r="M81" s="6" t="n"/>
    </row>
    <row r="82">
      <c r="J82" s="6" t="n"/>
      <c r="K82" s="6" t="n"/>
      <c r="M82" s="6" t="n"/>
    </row>
    <row r="83">
      <c r="J83" s="6" t="n"/>
      <c r="K83" s="6" t="n"/>
      <c r="M83" s="6" t="n"/>
    </row>
    <row r="84">
      <c r="J84" s="6" t="n"/>
      <c r="K84" s="6" t="n"/>
      <c r="M84" s="6" t="n"/>
    </row>
    <row r="85">
      <c r="J85" s="6" t="n"/>
      <c r="K85" s="6" t="n"/>
      <c r="M85" s="6" t="n"/>
    </row>
    <row r="86">
      <c r="J86" s="6" t="n"/>
      <c r="K86" s="6" t="n"/>
      <c r="M86" s="6" t="n"/>
    </row>
    <row r="87">
      <c r="J87" s="6" t="n"/>
      <c r="K87" s="6" t="n"/>
      <c r="M87" s="6" t="n"/>
    </row>
    <row r="88">
      <c r="J88" s="6" t="n"/>
      <c r="K88" s="6" t="n"/>
      <c r="M88" s="6" t="n"/>
    </row>
    <row r="89">
      <c r="J89" s="6" t="n"/>
      <c r="K89" s="6" t="n"/>
      <c r="M89" s="6" t="n"/>
    </row>
    <row r="90">
      <c r="J90" s="6" t="n"/>
      <c r="K90" s="6" t="n"/>
      <c r="M90" s="6" t="n"/>
    </row>
    <row r="91">
      <c r="J91" s="6" t="n"/>
      <c r="K91" s="6" t="n"/>
      <c r="M91" s="6" t="n"/>
    </row>
    <row r="92">
      <c r="J92" s="6" t="n"/>
      <c r="K92" s="6" t="n"/>
      <c r="M92" s="6" t="n"/>
    </row>
    <row r="93">
      <c r="J93" s="6" t="n"/>
      <c r="K93" s="6" t="n"/>
      <c r="M93" s="6" t="n"/>
    </row>
    <row r="94">
      <c r="J94" s="6" t="n"/>
      <c r="K94" s="6" t="n"/>
      <c r="M94" s="6" t="n"/>
    </row>
    <row r="95">
      <c r="J95" s="6" t="n"/>
      <c r="K95" s="6" t="n"/>
      <c r="M95" s="6" t="n"/>
    </row>
    <row r="96">
      <c r="J96" s="6" t="n"/>
      <c r="K96" s="6" t="n"/>
      <c r="M96" s="6" t="n"/>
    </row>
    <row r="97">
      <c r="J97" s="6" t="n"/>
      <c r="K97" s="6" t="n"/>
      <c r="M97" s="6" t="n"/>
    </row>
    <row r="98">
      <c r="J98" s="6" t="n"/>
      <c r="K98" s="6" t="n"/>
      <c r="M98" s="6" t="n"/>
    </row>
    <row r="99">
      <c r="J99" s="6" t="n"/>
      <c r="K99" s="6" t="n"/>
      <c r="M99" s="6" t="n"/>
    </row>
    <row r="100">
      <c r="J100" s="6" t="n"/>
      <c r="K100" s="6" t="n"/>
      <c r="M100" s="6" t="n"/>
    </row>
    <row r="101">
      <c r="J101" s="6" t="n"/>
      <c r="K101" s="6" t="n"/>
      <c r="M101" s="6" t="n"/>
    </row>
    <row r="102">
      <c r="J102" s="6" t="n"/>
      <c r="K102" s="6" t="n"/>
      <c r="M102" s="6" t="n"/>
    </row>
    <row r="103">
      <c r="J103" s="6" t="n"/>
      <c r="K103" s="6" t="n"/>
      <c r="M103" s="6" t="n"/>
    </row>
    <row r="104">
      <c r="J104" s="6" t="n"/>
      <c r="K104" s="6" t="n"/>
      <c r="M104" s="6" t="n"/>
    </row>
    <row r="105">
      <c r="J105" s="6" t="n"/>
      <c r="K105" s="6" t="n"/>
      <c r="M105" s="6" t="n"/>
    </row>
    <row r="106">
      <c r="J106" s="6" t="n"/>
      <c r="K106" s="6" t="n"/>
      <c r="M106" s="6" t="n"/>
    </row>
    <row r="107">
      <c r="J107" s="6" t="n"/>
      <c r="K107" s="6" t="n"/>
      <c r="M107" s="6" t="n"/>
    </row>
    <row r="108">
      <c r="J108" s="6" t="n"/>
      <c r="K108" s="6" t="n"/>
      <c r="M108" s="6" t="n"/>
    </row>
    <row r="109">
      <c r="J109" s="6" t="n"/>
      <c r="K109" s="6" t="n"/>
      <c r="M109" s="6" t="n"/>
    </row>
    <row r="110">
      <c r="J110" s="6" t="n"/>
      <c r="K110" s="6" t="n"/>
      <c r="M110" s="6" t="n"/>
    </row>
    <row r="111">
      <c r="J111" s="6" t="n"/>
      <c r="K111" s="6" t="n"/>
      <c r="M111" s="6" t="n"/>
    </row>
    <row r="112">
      <c r="J112" s="6" t="n"/>
      <c r="K112" s="6" t="n"/>
      <c r="M112" s="6" t="n"/>
    </row>
    <row r="113">
      <c r="J113" s="6" t="n"/>
      <c r="K113" s="6" t="n"/>
      <c r="M113" s="6" t="n"/>
    </row>
    <row r="114">
      <c r="J114" s="6" t="n"/>
      <c r="K114" s="6" t="n"/>
      <c r="M114" s="6" t="n"/>
    </row>
    <row r="115">
      <c r="J115" s="6" t="n"/>
      <c r="K115" s="6" t="n"/>
      <c r="M115" s="6" t="n"/>
    </row>
    <row r="116">
      <c r="J116" s="6" t="n"/>
      <c r="K116" s="6" t="n"/>
      <c r="M116" s="6" t="n"/>
    </row>
    <row r="117">
      <c r="J117" s="6" t="n"/>
      <c r="K117" s="6" t="n"/>
      <c r="M117" s="6" t="n"/>
    </row>
    <row r="118">
      <c r="J118" s="6" t="n"/>
      <c r="K118" s="6" t="n"/>
      <c r="M118" s="6" t="n"/>
    </row>
    <row r="119">
      <c r="J119" s="6" t="n"/>
      <c r="K119" s="6" t="n"/>
      <c r="M119" s="6" t="n"/>
    </row>
    <row r="120">
      <c r="J120" s="6" t="n"/>
      <c r="K120" s="6" t="n"/>
      <c r="M120" s="6" t="n"/>
    </row>
    <row r="121">
      <c r="J121" s="6" t="n"/>
      <c r="K121" s="6" t="n"/>
      <c r="M121" s="6" t="n"/>
    </row>
    <row r="122">
      <c r="J122" s="6" t="n"/>
      <c r="K122" s="6" t="n"/>
      <c r="M122" s="6" t="n"/>
    </row>
    <row r="123">
      <c r="J123" s="6" t="n"/>
      <c r="K123" s="6" t="n"/>
      <c r="M123" s="6" t="n"/>
    </row>
    <row r="124">
      <c r="J124" s="6" t="n"/>
      <c r="K124" s="6" t="n"/>
      <c r="M124" s="6" t="n"/>
    </row>
    <row r="125">
      <c r="J125" s="6" t="n"/>
      <c r="K125" s="6" t="n"/>
      <c r="M125" s="6" t="n"/>
    </row>
    <row r="126">
      <c r="J126" s="6" t="n"/>
      <c r="K126" s="6" t="n"/>
      <c r="M126" s="6" t="n"/>
    </row>
    <row r="127">
      <c r="J127" s="6" t="n"/>
      <c r="K127" s="6" t="n"/>
      <c r="M127" s="6" t="n"/>
    </row>
    <row r="128">
      <c r="J128" s="6" t="n"/>
      <c r="K128" s="6" t="n"/>
      <c r="M128" s="6" t="n"/>
    </row>
    <row r="129">
      <c r="J129" s="6" t="n"/>
      <c r="K129" s="6" t="n"/>
      <c r="M129" s="6" t="n"/>
    </row>
    <row r="130">
      <c r="J130" s="6" t="n"/>
      <c r="K130" s="6" t="n"/>
      <c r="M130" s="6" t="n"/>
    </row>
    <row r="131">
      <c r="J131" s="6" t="n"/>
      <c r="K131" s="6" t="n"/>
      <c r="M131" s="6" t="n"/>
    </row>
    <row r="132">
      <c r="J132" s="6" t="n"/>
      <c r="K132" s="6" t="n"/>
      <c r="M132" s="6" t="n"/>
    </row>
    <row r="133">
      <c r="J133" s="6" t="n"/>
      <c r="K133" s="6" t="n"/>
      <c r="M133" s="6" t="n"/>
    </row>
    <row r="134">
      <c r="J134" s="6" t="n"/>
      <c r="K134" s="6" t="n"/>
      <c r="M134" s="6" t="n"/>
    </row>
    <row r="135">
      <c r="J135" s="6" t="n"/>
      <c r="K135" s="6" t="n"/>
      <c r="M135" s="6" t="n"/>
    </row>
    <row r="136">
      <c r="J136" s="6" t="n"/>
      <c r="K136" s="6" t="n"/>
      <c r="M136" s="6" t="n"/>
    </row>
    <row r="137">
      <c r="J137" s="6" t="n"/>
      <c r="K137" s="6" t="n"/>
      <c r="M137" s="6" t="n"/>
    </row>
    <row r="138">
      <c r="J138" s="6" t="n"/>
      <c r="K138" s="6" t="n"/>
      <c r="M138" s="6" t="n"/>
    </row>
    <row r="139">
      <c r="J139" s="6" t="n"/>
      <c r="K139" s="6" t="n"/>
      <c r="M139" s="6" t="n"/>
    </row>
    <row r="140">
      <c r="J140" s="6" t="n"/>
      <c r="K140" s="6" t="n"/>
      <c r="M140" s="6" t="n"/>
    </row>
    <row r="141">
      <c r="J141" s="6" t="n"/>
      <c r="K141" s="6" t="n"/>
      <c r="M141" s="6" t="n"/>
    </row>
    <row r="142">
      <c r="J142" s="6" t="n"/>
      <c r="K142" s="6" t="n"/>
      <c r="M142" s="6" t="n"/>
    </row>
    <row r="143">
      <c r="J143" s="6" t="n"/>
      <c r="K143" s="6" t="n"/>
      <c r="M143" s="6" t="n"/>
    </row>
    <row r="144">
      <c r="J144" s="6" t="n"/>
      <c r="K144" s="6" t="n"/>
      <c r="M144" s="6" t="n"/>
    </row>
    <row r="145">
      <c r="J145" s="6" t="n"/>
      <c r="K145" s="6" t="n"/>
      <c r="M145" s="6" t="n"/>
    </row>
    <row r="146">
      <c r="J146" s="6" t="n"/>
      <c r="K146" s="6" t="n"/>
      <c r="M146" s="6" t="n"/>
    </row>
    <row r="147">
      <c r="J147" s="6" t="n"/>
      <c r="K147" s="6" t="n"/>
      <c r="M147" s="6" t="n"/>
    </row>
    <row r="148">
      <c r="J148" s="6" t="n"/>
      <c r="K148" s="6" t="n"/>
      <c r="M148" s="6" t="n"/>
    </row>
    <row r="149">
      <c r="J149" s="6" t="n"/>
      <c r="K149" s="6" t="n"/>
      <c r="M149" s="6" t="n"/>
    </row>
    <row r="150">
      <c r="J150" s="6" t="n"/>
      <c r="K150" s="6" t="n"/>
      <c r="M150" s="6" t="n"/>
    </row>
    <row r="151">
      <c r="J151" s="6" t="n"/>
      <c r="K151" s="6" t="n"/>
      <c r="M151" s="6" t="n"/>
    </row>
    <row r="152">
      <c r="J152" s="6" t="n"/>
      <c r="K152" s="6" t="n"/>
      <c r="M152" s="6" t="n"/>
    </row>
    <row r="153">
      <c r="J153" s="6" t="n"/>
      <c r="K153" s="6" t="n"/>
      <c r="M153" s="6" t="n"/>
    </row>
    <row r="154">
      <c r="J154" s="6" t="n"/>
      <c r="K154" s="6" t="n"/>
      <c r="M154" s="6" t="n"/>
    </row>
    <row r="155">
      <c r="J155" s="6" t="n"/>
      <c r="K155" s="6" t="n"/>
      <c r="M155" s="6" t="n"/>
    </row>
    <row r="156">
      <c r="J156" s="6" t="n"/>
      <c r="K156" s="6" t="n"/>
      <c r="M156" s="6" t="n"/>
    </row>
    <row r="157">
      <c r="J157" s="6" t="n"/>
      <c r="K157" s="6" t="n"/>
      <c r="M157" s="6" t="n"/>
    </row>
    <row r="158">
      <c r="J158" s="6" t="n"/>
      <c r="K158" s="6" t="n"/>
      <c r="M158" s="6" t="n"/>
    </row>
    <row r="159">
      <c r="J159" s="6" t="n"/>
      <c r="K159" s="6" t="n"/>
      <c r="M159" s="6" t="n"/>
    </row>
    <row r="160">
      <c r="J160" s="6" t="n"/>
      <c r="K160" s="6" t="n"/>
      <c r="M160" s="6" t="n"/>
    </row>
    <row r="161">
      <c r="J161" s="6" t="n"/>
      <c r="K161" s="6" t="n"/>
      <c r="M161" s="6" t="n"/>
    </row>
    <row r="162">
      <c r="J162" s="6" t="n"/>
      <c r="K162" s="6" t="n"/>
      <c r="M162" s="6" t="n"/>
    </row>
    <row r="163">
      <c r="J163" s="6" t="n"/>
      <c r="K163" s="6" t="n"/>
      <c r="M163" s="6" t="n"/>
    </row>
    <row r="164">
      <c r="J164" s="6" t="n"/>
      <c r="K164" s="6" t="n"/>
      <c r="M164" s="6" t="n"/>
    </row>
    <row r="165">
      <c r="J165" s="6" t="n"/>
      <c r="K165" s="6" t="n"/>
      <c r="M165" s="6" t="n"/>
    </row>
    <row r="166">
      <c r="J166" s="6" t="n"/>
      <c r="K166" s="6" t="n"/>
      <c r="M166" s="6" t="n"/>
    </row>
    <row r="167">
      <c r="J167" s="6" t="n"/>
      <c r="K167" s="6" t="n"/>
      <c r="M167" s="6" t="n"/>
    </row>
    <row r="168">
      <c r="J168" s="6" t="n"/>
      <c r="K168" s="6" t="n"/>
      <c r="M168" s="6" t="n"/>
    </row>
    <row r="169">
      <c r="J169" s="6" t="n"/>
      <c r="K169" s="6" t="n"/>
      <c r="M169" s="6" t="n"/>
    </row>
    <row r="170">
      <c r="J170" s="6" t="n"/>
      <c r="K170" s="6" t="n"/>
      <c r="M170" s="6" t="n"/>
    </row>
    <row r="171">
      <c r="J171" s="6" t="n"/>
      <c r="K171" s="6" t="n"/>
      <c r="M171" s="6" t="n"/>
    </row>
    <row r="172">
      <c r="J172" s="6" t="n"/>
      <c r="K172" s="6" t="n"/>
      <c r="M172" s="6" t="n"/>
    </row>
    <row r="173">
      <c r="J173" s="6" t="n"/>
      <c r="K173" s="6" t="n"/>
      <c r="M173" s="6" t="n"/>
    </row>
    <row r="174">
      <c r="J174" s="6" t="n"/>
      <c r="K174" s="6" t="n"/>
      <c r="M174" s="6" t="n"/>
    </row>
    <row r="175">
      <c r="J175" s="6" t="n"/>
      <c r="K175" s="6" t="n"/>
      <c r="M175" s="6" t="n"/>
    </row>
    <row r="176">
      <c r="J176" s="6" t="n"/>
      <c r="K176" s="6" t="n"/>
      <c r="M176" s="6" t="n"/>
    </row>
    <row r="177">
      <c r="J177" s="6" t="n"/>
      <c r="K177" s="6" t="n"/>
      <c r="M177" s="6" t="n"/>
    </row>
    <row r="178">
      <c r="J178" s="6" t="n"/>
      <c r="K178" s="6" t="n"/>
      <c r="M178" s="6" t="n"/>
    </row>
    <row r="179">
      <c r="J179" s="6" t="n"/>
      <c r="K179" s="6" t="n"/>
      <c r="M179" s="6" t="n"/>
    </row>
    <row r="180">
      <c r="J180" s="6" t="n"/>
      <c r="K180" s="6" t="n"/>
      <c r="M180" s="6" t="n"/>
    </row>
    <row r="181">
      <c r="J181" s="6" t="n"/>
      <c r="K181" s="6" t="n"/>
      <c r="M181" s="6" t="n"/>
    </row>
    <row r="182">
      <c r="J182" s="6" t="n"/>
      <c r="K182" s="6" t="n"/>
      <c r="M182" s="6" t="n"/>
    </row>
    <row r="183">
      <c r="J183" s="6" t="n"/>
      <c r="K183" s="6" t="n"/>
      <c r="M183" s="6" t="n"/>
    </row>
    <row r="184">
      <c r="J184" s="6" t="n"/>
      <c r="K184" s="6" t="n"/>
      <c r="M184" s="6" t="n"/>
    </row>
    <row r="185">
      <c r="J185" s="6" t="n"/>
      <c r="K185" s="6" t="n"/>
      <c r="M185" s="6" t="n"/>
    </row>
    <row r="186">
      <c r="J186" s="6" t="n"/>
      <c r="K186" s="6" t="n"/>
      <c r="M186" s="6" t="n"/>
    </row>
    <row r="187">
      <c r="J187" s="6" t="n"/>
      <c r="K187" s="6" t="n"/>
      <c r="M187" s="6" t="n"/>
    </row>
    <row r="188">
      <c r="J188" s="6" t="n"/>
      <c r="K188" s="6" t="n"/>
      <c r="M188" s="6" t="n"/>
    </row>
    <row r="189">
      <c r="J189" s="6" t="n"/>
      <c r="K189" s="6" t="n"/>
      <c r="M189" s="6" t="n"/>
    </row>
    <row r="190">
      <c r="J190" s="6" t="n"/>
      <c r="K190" s="6" t="n"/>
      <c r="M190" s="6" t="n"/>
    </row>
    <row r="191">
      <c r="J191" s="6" t="n"/>
      <c r="K191" s="6" t="n"/>
      <c r="M191" s="6" t="n"/>
    </row>
    <row r="192">
      <c r="J192" s="6" t="n"/>
      <c r="K192" s="6" t="n"/>
      <c r="M192" s="6" t="n"/>
    </row>
    <row r="193">
      <c r="J193" s="6" t="n"/>
      <c r="K193" s="6" t="n"/>
      <c r="M193" s="6" t="n"/>
    </row>
    <row r="194">
      <c r="J194" s="6" t="n"/>
      <c r="K194" s="6" t="n"/>
      <c r="M194" s="6" t="n"/>
    </row>
    <row r="195">
      <c r="J195" s="6" t="n"/>
      <c r="K195" s="6" t="n"/>
      <c r="M195" s="6" t="n"/>
    </row>
    <row r="196">
      <c r="J196" s="6" t="n"/>
      <c r="K196" s="6" t="n"/>
      <c r="M196" s="6" t="n"/>
    </row>
    <row r="197">
      <c r="J197" s="6" t="n"/>
      <c r="K197" s="6" t="n"/>
      <c r="M197" s="6" t="n"/>
    </row>
    <row r="198">
      <c r="J198" s="6" t="n"/>
      <c r="K198" s="6" t="n"/>
      <c r="M198" s="6" t="n"/>
    </row>
    <row r="199">
      <c r="J199" s="6" t="n"/>
      <c r="K199" s="6" t="n"/>
      <c r="M199" s="6" t="n"/>
    </row>
    <row r="200">
      <c r="J200" s="6" t="n"/>
      <c r="K200" s="6" t="n"/>
      <c r="M200" s="6" t="n"/>
    </row>
    <row r="201">
      <c r="J201" s="6" t="n"/>
      <c r="K201" s="6" t="n"/>
      <c r="M201" s="6" t="n"/>
    </row>
    <row r="202">
      <c r="J202" s="6" t="n"/>
      <c r="K202" s="6" t="n"/>
      <c r="M202" s="6" t="n"/>
    </row>
    <row r="203">
      <c r="J203" s="6" t="n"/>
      <c r="K203" s="6" t="n"/>
      <c r="M203" s="6" t="n"/>
    </row>
    <row r="204">
      <c r="J204" s="6" t="n"/>
      <c r="K204" s="6" t="n"/>
      <c r="M204" s="6" t="n"/>
    </row>
    <row r="205">
      <c r="J205" s="6" t="n"/>
      <c r="K205" s="6" t="n"/>
      <c r="M205" s="6" t="n"/>
    </row>
    <row r="206">
      <c r="J206" s="6" t="n"/>
      <c r="K206" s="6" t="n"/>
      <c r="M206" s="6" t="n"/>
    </row>
    <row r="207">
      <c r="J207" s="6" t="n"/>
      <c r="K207" s="6" t="n"/>
      <c r="M207" s="6" t="n"/>
    </row>
    <row r="208">
      <c r="J208" s="6" t="n"/>
      <c r="K208" s="6" t="n"/>
      <c r="M208" s="6" t="n"/>
    </row>
    <row r="209">
      <c r="J209" s="6" t="n"/>
      <c r="K209" s="6" t="n"/>
      <c r="M209" s="6" t="n"/>
    </row>
    <row r="210">
      <c r="J210" s="6" t="n"/>
      <c r="K210" s="6" t="n"/>
      <c r="M210" s="6" t="n"/>
    </row>
    <row r="211">
      <c r="J211" s="6" t="n"/>
      <c r="K211" s="6" t="n"/>
      <c r="M211" s="6" t="n"/>
    </row>
    <row r="212">
      <c r="J212" s="6" t="n"/>
      <c r="K212" s="6" t="n"/>
      <c r="M212" s="6" t="n"/>
    </row>
    <row r="213">
      <c r="J213" s="6" t="n"/>
      <c r="K213" s="6" t="n"/>
      <c r="M213" s="6" t="n"/>
    </row>
    <row r="214">
      <c r="J214" s="6" t="n"/>
      <c r="K214" s="6" t="n"/>
      <c r="M214" s="6" t="n"/>
    </row>
    <row r="215">
      <c r="J215" s="6" t="n"/>
      <c r="K215" s="6" t="n"/>
      <c r="M215" s="6" t="n"/>
    </row>
    <row r="216">
      <c r="J216" s="6" t="n"/>
      <c r="K216" s="6" t="n"/>
      <c r="M216" s="6" t="n"/>
    </row>
    <row r="217">
      <c r="J217" s="6" t="n"/>
      <c r="K217" s="6" t="n"/>
      <c r="M217" s="6" t="n"/>
    </row>
    <row r="218">
      <c r="J218" s="6" t="n"/>
      <c r="K218" s="6" t="n"/>
      <c r="M218" s="6" t="n"/>
    </row>
    <row r="219">
      <c r="J219" s="6" t="n"/>
      <c r="K219" s="6" t="n"/>
      <c r="M219" s="6" t="n"/>
    </row>
    <row r="220">
      <c r="J220" s="6" t="n"/>
      <c r="K220" s="6" t="n"/>
      <c r="M220" s="6" t="n"/>
    </row>
    <row r="221">
      <c r="J221" s="6" t="n"/>
      <c r="K221" s="6" t="n"/>
      <c r="M221" s="6" t="n"/>
    </row>
    <row r="222">
      <c r="J222" s="6" t="n"/>
      <c r="K222" s="6" t="n"/>
      <c r="M222" s="6" t="n"/>
    </row>
    <row r="223">
      <c r="J223" s="6" t="n"/>
      <c r="K223" s="6" t="n"/>
      <c r="M223" s="6" t="n"/>
    </row>
    <row r="224">
      <c r="J224" s="6" t="n"/>
      <c r="K224" s="6" t="n"/>
      <c r="M224" s="6" t="n"/>
    </row>
    <row r="225">
      <c r="J225" s="6" t="n"/>
      <c r="K225" s="6" t="n"/>
      <c r="M225" s="6" t="n"/>
    </row>
    <row r="226">
      <c r="J226" s="6" t="n"/>
      <c r="K226" s="6" t="n"/>
      <c r="M226" s="6" t="n"/>
    </row>
    <row r="227">
      <c r="J227" s="6" t="n"/>
      <c r="K227" s="6" t="n"/>
      <c r="M227" s="6" t="n"/>
    </row>
    <row r="228">
      <c r="J228" s="6" t="n"/>
      <c r="K228" s="6" t="n"/>
      <c r="M228" s="6" t="n"/>
    </row>
    <row r="229">
      <c r="J229" s="6" t="n"/>
      <c r="K229" s="6" t="n"/>
      <c r="M229" s="6" t="n"/>
    </row>
    <row r="230">
      <c r="J230" s="6" t="n"/>
      <c r="K230" s="6" t="n"/>
      <c r="M230" s="6" t="n"/>
    </row>
    <row r="231">
      <c r="J231" s="6" t="n"/>
      <c r="K231" s="6" t="n"/>
      <c r="M231" s="6" t="n"/>
    </row>
    <row r="232">
      <c r="J232" s="6" t="n"/>
      <c r="K232" s="6" t="n"/>
      <c r="M232" s="6" t="n"/>
    </row>
    <row r="233">
      <c r="J233" s="6" t="n"/>
      <c r="K233" s="6" t="n"/>
      <c r="M233" s="6" t="n"/>
    </row>
    <row r="234">
      <c r="J234" s="6" t="n"/>
      <c r="K234" s="6" t="n"/>
      <c r="M234" s="6" t="n"/>
    </row>
    <row r="235">
      <c r="J235" s="6" t="n"/>
      <c r="K235" s="6" t="n"/>
      <c r="M235" s="6" t="n"/>
    </row>
    <row r="236">
      <c r="J236" s="6" t="n"/>
      <c r="K236" s="6" t="n"/>
      <c r="M236" s="6" t="n"/>
    </row>
    <row r="237">
      <c r="J237" s="6" t="n"/>
      <c r="K237" s="6" t="n"/>
      <c r="M237" s="6" t="n"/>
    </row>
    <row r="238">
      <c r="J238" s="6" t="n"/>
      <c r="K238" s="6" t="n"/>
      <c r="M238" s="6" t="n"/>
    </row>
    <row r="239">
      <c r="J239" s="6" t="n"/>
      <c r="K239" s="6" t="n"/>
      <c r="M239" s="6" t="n"/>
    </row>
    <row r="240">
      <c r="J240" s="6" t="n"/>
      <c r="K240" s="6" t="n"/>
      <c r="M240" s="6" t="n"/>
    </row>
    <row r="241">
      <c r="J241" s="6" t="n"/>
      <c r="K241" s="6" t="n"/>
      <c r="M241" s="6" t="n"/>
    </row>
    <row r="242">
      <c r="J242" s="6" t="n"/>
      <c r="K242" s="6" t="n"/>
      <c r="M242" s="6" t="n"/>
    </row>
    <row r="243">
      <c r="J243" s="6" t="n"/>
      <c r="K243" s="6" t="n"/>
      <c r="M243" s="6" t="n"/>
    </row>
    <row r="244">
      <c r="J244" s="6" t="n"/>
      <c r="K244" s="6" t="n"/>
      <c r="M244" s="6" t="n"/>
    </row>
    <row r="245">
      <c r="J245" s="6" t="n"/>
      <c r="K245" s="6" t="n"/>
      <c r="M245" s="6" t="n"/>
    </row>
    <row r="246">
      <c r="J246" s="6" t="n"/>
      <c r="K246" s="6" t="n"/>
      <c r="M246" s="6" t="n"/>
    </row>
    <row r="247">
      <c r="J247" s="6" t="n"/>
      <c r="K247" s="6" t="n"/>
      <c r="M247" s="6" t="n"/>
    </row>
    <row r="248">
      <c r="J248" s="6" t="n"/>
      <c r="K248" s="6" t="n"/>
      <c r="M248" s="6" t="n"/>
    </row>
    <row r="249">
      <c r="J249" s="6" t="n"/>
      <c r="K249" s="6" t="n"/>
      <c r="M249" s="6" t="n"/>
    </row>
    <row r="250">
      <c r="J250" s="6" t="n"/>
      <c r="K250" s="6" t="n"/>
      <c r="M250" s="6" t="n"/>
    </row>
    <row r="251">
      <c r="J251" s="6" t="n"/>
      <c r="K251" s="6" t="n"/>
      <c r="M251" s="6" t="n"/>
    </row>
    <row r="252">
      <c r="J252" s="6" t="n"/>
      <c r="K252" s="6" t="n"/>
      <c r="M252" s="6" t="n"/>
    </row>
    <row r="253">
      <c r="J253" s="6" t="n"/>
      <c r="K253" s="6" t="n"/>
      <c r="M253" s="6" t="n"/>
    </row>
    <row r="254">
      <c r="J254" s="6" t="n"/>
      <c r="K254" s="6" t="n"/>
      <c r="M254" s="6" t="n"/>
    </row>
    <row r="255">
      <c r="J255" s="6" t="n"/>
      <c r="K255" s="6" t="n"/>
      <c r="M255" s="6" t="n"/>
    </row>
    <row r="256">
      <c r="J256" s="6" t="n"/>
      <c r="K256" s="6" t="n"/>
      <c r="M256" s="6" t="n"/>
    </row>
    <row r="257">
      <c r="J257" s="6" t="n"/>
      <c r="K257" s="6" t="n"/>
      <c r="M257" s="6" t="n"/>
    </row>
    <row r="258">
      <c r="J258" s="6" t="n"/>
      <c r="K258" s="6" t="n"/>
      <c r="M258" s="6" t="n"/>
    </row>
    <row r="259">
      <c r="J259" s="6" t="n"/>
      <c r="K259" s="6" t="n"/>
      <c r="M259" s="6" t="n"/>
    </row>
    <row r="260">
      <c r="J260" s="6" t="n"/>
      <c r="K260" s="6" t="n"/>
      <c r="M260" s="6" t="n"/>
    </row>
    <row r="261">
      <c r="J261" s="6" t="n"/>
      <c r="K261" s="6" t="n"/>
      <c r="M261" s="6" t="n"/>
    </row>
    <row r="262">
      <c r="J262" s="6" t="n"/>
      <c r="K262" s="6" t="n"/>
      <c r="M262" s="6" t="n"/>
    </row>
    <row r="263">
      <c r="J263" s="6" t="n"/>
      <c r="K263" s="6" t="n"/>
      <c r="M263" s="6" t="n"/>
    </row>
    <row r="264">
      <c r="J264" s="6" t="n"/>
      <c r="K264" s="6" t="n"/>
      <c r="M264" s="6" t="n"/>
    </row>
    <row r="265">
      <c r="J265" s="6" t="n"/>
      <c r="K265" s="6" t="n"/>
      <c r="M265" s="6" t="n"/>
    </row>
    <row r="266">
      <c r="J266" s="6" t="n"/>
      <c r="K266" s="6" t="n"/>
      <c r="M266" s="6" t="n"/>
    </row>
    <row r="267">
      <c r="J267" s="6" t="n"/>
      <c r="K267" s="6" t="n"/>
      <c r="M267" s="6" t="n"/>
    </row>
    <row r="268">
      <c r="J268" s="6" t="n"/>
      <c r="K268" s="6" t="n"/>
      <c r="M268" s="6" t="n"/>
    </row>
    <row r="269">
      <c r="J269" s="6" t="n"/>
      <c r="K269" s="6" t="n"/>
      <c r="M269" s="6" t="n"/>
    </row>
    <row r="270">
      <c r="J270" s="6" t="n"/>
      <c r="K270" s="6" t="n"/>
      <c r="M270" s="6" t="n"/>
    </row>
    <row r="271">
      <c r="J271" s="6" t="n"/>
      <c r="K271" s="6" t="n"/>
      <c r="M271" s="6" t="n"/>
    </row>
    <row r="272">
      <c r="J272" s="6" t="n"/>
      <c r="K272" s="6" t="n"/>
      <c r="M272" s="6" t="n"/>
    </row>
    <row r="273">
      <c r="J273" s="6" t="n"/>
      <c r="K273" s="6" t="n"/>
      <c r="M273" s="6" t="n"/>
    </row>
    <row r="274">
      <c r="J274" s="6" t="n"/>
      <c r="K274" s="6" t="n"/>
      <c r="M274" s="6" t="n"/>
    </row>
    <row r="275">
      <c r="J275" s="6" t="n"/>
      <c r="K275" s="6" t="n"/>
      <c r="M275" s="6" t="n"/>
    </row>
    <row r="276">
      <c r="J276" s="6" t="n"/>
      <c r="K276" s="6" t="n"/>
      <c r="M276" s="6" t="n"/>
    </row>
    <row r="277">
      <c r="J277" s="6" t="n"/>
      <c r="K277" s="6" t="n"/>
      <c r="M277" s="6" t="n"/>
    </row>
    <row r="278">
      <c r="J278" s="6" t="n"/>
      <c r="K278" s="6" t="n"/>
      <c r="M278" s="6" t="n"/>
    </row>
    <row r="279">
      <c r="J279" s="6" t="n"/>
      <c r="K279" s="6" t="n"/>
      <c r="M279" s="6" t="n"/>
    </row>
    <row r="280">
      <c r="J280" s="6" t="n"/>
      <c r="K280" s="6" t="n"/>
      <c r="M280" s="6" t="n"/>
    </row>
    <row r="281">
      <c r="J281" s="6" t="n"/>
      <c r="K281" s="6" t="n"/>
      <c r="M281" s="6" t="n"/>
    </row>
    <row r="282">
      <c r="J282" s="6" t="n"/>
      <c r="K282" s="6" t="n"/>
      <c r="M282" s="6" t="n"/>
    </row>
    <row r="283">
      <c r="J283" s="6" t="n"/>
      <c r="K283" s="6" t="n"/>
      <c r="M283" s="6" t="n"/>
    </row>
    <row r="284">
      <c r="J284" s="6" t="n"/>
      <c r="K284" s="6" t="n"/>
      <c r="M284" s="6" t="n"/>
    </row>
    <row r="285">
      <c r="J285" s="6" t="n"/>
      <c r="K285" s="6" t="n"/>
      <c r="M285" s="6" t="n"/>
    </row>
    <row r="286">
      <c r="J286" s="6" t="n"/>
      <c r="K286" s="6" t="n"/>
      <c r="M286" s="6" t="n"/>
    </row>
    <row r="287">
      <c r="J287" s="6" t="n"/>
      <c r="K287" s="6" t="n"/>
      <c r="M287" s="6" t="n"/>
    </row>
    <row r="288">
      <c r="J288" s="6" t="n"/>
      <c r="K288" s="6" t="n"/>
      <c r="M288" s="6" t="n"/>
    </row>
    <row r="289">
      <c r="J289" s="6" t="n"/>
      <c r="K289" s="6" t="n"/>
      <c r="M289" s="6" t="n"/>
    </row>
    <row r="290">
      <c r="J290" s="6" t="n"/>
      <c r="K290" s="6" t="n"/>
      <c r="M290" s="6" t="n"/>
    </row>
    <row r="291">
      <c r="J291" s="6" t="n"/>
      <c r="K291" s="6" t="n"/>
      <c r="M291" s="6" t="n"/>
    </row>
    <row r="292">
      <c r="J292" s="6" t="n"/>
      <c r="K292" s="6" t="n"/>
      <c r="M292" s="6" t="n"/>
    </row>
    <row r="293">
      <c r="J293" s="6" t="n"/>
      <c r="K293" s="6" t="n"/>
      <c r="M293" s="6" t="n"/>
    </row>
    <row r="294">
      <c r="J294" s="6" t="n"/>
      <c r="K294" s="6" t="n"/>
      <c r="M294" s="6" t="n"/>
    </row>
    <row r="295">
      <c r="J295" s="6" t="n"/>
      <c r="K295" s="6" t="n"/>
      <c r="M295" s="6" t="n"/>
    </row>
    <row r="296">
      <c r="J296" s="6" t="n"/>
      <c r="K296" s="6" t="n"/>
      <c r="M296" s="6" t="n"/>
    </row>
    <row r="297">
      <c r="J297" s="6" t="n"/>
      <c r="K297" s="6" t="n"/>
      <c r="M297" s="6" t="n"/>
    </row>
    <row r="298">
      <c r="J298" s="6" t="n"/>
      <c r="K298" s="6" t="n"/>
      <c r="M298" s="6" t="n"/>
    </row>
    <row r="299">
      <c r="J299" s="6" t="n"/>
      <c r="K299" s="6" t="n"/>
      <c r="M299" s="6" t="n"/>
    </row>
    <row r="300">
      <c r="J300" s="6" t="n"/>
      <c r="K300" s="6" t="n"/>
      <c r="M300" s="6" t="n"/>
    </row>
    <row r="301">
      <c r="J301" s="6" t="n"/>
      <c r="K301" s="6" t="n"/>
      <c r="M301" s="6" t="n"/>
    </row>
    <row r="302">
      <c r="J302" s="6" t="n"/>
      <c r="K302" s="6" t="n"/>
      <c r="M302" s="6" t="n"/>
    </row>
    <row r="303">
      <c r="J303" s="6" t="n"/>
      <c r="K303" s="6" t="n"/>
      <c r="M303" s="6" t="n"/>
    </row>
    <row r="304">
      <c r="J304" s="6" t="n"/>
      <c r="K304" s="6" t="n"/>
      <c r="M304" s="6" t="n"/>
    </row>
    <row r="305">
      <c r="J305" s="6" t="n"/>
      <c r="K305" s="6" t="n"/>
      <c r="M305" s="6" t="n"/>
    </row>
    <row r="306">
      <c r="J306" s="6" t="n"/>
      <c r="K306" s="6" t="n"/>
      <c r="M306" s="6" t="n"/>
    </row>
    <row r="307">
      <c r="J307" s="6" t="n"/>
      <c r="K307" s="6" t="n"/>
      <c r="M307" s="6" t="n"/>
    </row>
    <row r="308">
      <c r="J308" s="6" t="n"/>
      <c r="K308" s="6" t="n"/>
      <c r="M308" s="6" t="n"/>
    </row>
    <row r="309">
      <c r="J309" s="6" t="n"/>
      <c r="K309" s="6" t="n"/>
      <c r="M309" s="6" t="n"/>
    </row>
    <row r="310">
      <c r="J310" s="6" t="n"/>
      <c r="K310" s="6" t="n"/>
      <c r="M310" s="6" t="n"/>
    </row>
    <row r="311">
      <c r="J311" s="6" t="n"/>
      <c r="K311" s="6" t="n"/>
      <c r="M311" s="6" t="n"/>
    </row>
    <row r="312">
      <c r="J312" s="6" t="n"/>
      <c r="K312" s="6" t="n"/>
      <c r="M312" s="6" t="n"/>
    </row>
    <row r="313">
      <c r="J313" s="6" t="n"/>
      <c r="K313" s="6" t="n"/>
      <c r="M313" s="6" t="n"/>
    </row>
    <row r="314">
      <c r="J314" s="6" t="n"/>
      <c r="K314" s="6" t="n"/>
      <c r="M314" s="6" t="n"/>
    </row>
    <row r="315">
      <c r="J315" s="6" t="n"/>
      <c r="K315" s="6" t="n"/>
      <c r="M315" s="6" t="n"/>
    </row>
    <row r="316">
      <c r="J316" s="6" t="n"/>
      <c r="K316" s="6" t="n"/>
      <c r="M316" s="6" t="n"/>
    </row>
    <row r="317">
      <c r="J317" s="6" t="n"/>
      <c r="K317" s="6" t="n"/>
      <c r="M317" s="6" t="n"/>
    </row>
    <row r="318">
      <c r="J318" s="6" t="n"/>
      <c r="K318" s="6" t="n"/>
      <c r="M318" s="6" t="n"/>
    </row>
    <row r="319">
      <c r="J319" s="6" t="n"/>
      <c r="K319" s="6" t="n"/>
      <c r="M319" s="6" t="n"/>
    </row>
    <row r="320">
      <c r="J320" s="6" t="n"/>
      <c r="K320" s="6" t="n"/>
      <c r="M320" s="6" t="n"/>
    </row>
    <row r="321">
      <c r="J321" s="6" t="n"/>
      <c r="K321" s="6" t="n"/>
      <c r="M321" s="6" t="n"/>
    </row>
    <row r="322">
      <c r="J322" s="6" t="n"/>
      <c r="K322" s="6" t="n"/>
      <c r="M322" s="6" t="n"/>
    </row>
    <row r="323">
      <c r="J323" s="6" t="n"/>
      <c r="K323" s="6" t="n"/>
      <c r="M323" s="6" t="n"/>
    </row>
    <row r="324">
      <c r="J324" s="6" t="n"/>
      <c r="K324" s="6" t="n"/>
      <c r="M324" s="6" t="n"/>
    </row>
    <row r="325">
      <c r="J325" s="6" t="n"/>
      <c r="K325" s="6" t="n"/>
      <c r="M325" s="6" t="n"/>
    </row>
    <row r="326">
      <c r="J326" s="6" t="n"/>
      <c r="K326" s="6" t="n"/>
      <c r="M326" s="6" t="n"/>
    </row>
    <row r="327">
      <c r="J327" s="6" t="n"/>
      <c r="K327" s="6" t="n"/>
      <c r="M327" s="6" t="n"/>
    </row>
    <row r="328">
      <c r="J328" s="6" t="n"/>
      <c r="K328" s="6" t="n"/>
      <c r="M328" s="6" t="n"/>
    </row>
    <row r="329">
      <c r="J329" s="6" t="n"/>
      <c r="K329" s="6" t="n"/>
      <c r="M329" s="6" t="n"/>
    </row>
    <row r="330">
      <c r="J330" s="6" t="n"/>
      <c r="K330" s="6" t="n"/>
      <c r="M330" s="6" t="n"/>
    </row>
    <row r="331">
      <c r="J331" s="6" t="n"/>
      <c r="K331" s="6" t="n"/>
      <c r="M331" s="6" t="n"/>
    </row>
    <row r="332">
      <c r="J332" s="6" t="n"/>
      <c r="K332" s="6" t="n"/>
      <c r="M332" s="6" t="n"/>
    </row>
    <row r="333">
      <c r="J333" s="6" t="n"/>
      <c r="K333" s="6" t="n"/>
      <c r="M333" s="6" t="n"/>
    </row>
    <row r="334">
      <c r="J334" s="6" t="n"/>
      <c r="K334" s="6" t="n"/>
      <c r="M334" s="6" t="n"/>
    </row>
    <row r="335">
      <c r="J335" s="6" t="n"/>
      <c r="K335" s="6" t="n"/>
      <c r="M335" s="6" t="n"/>
    </row>
    <row r="336">
      <c r="J336" s="6" t="n"/>
      <c r="K336" s="6" t="n"/>
      <c r="M336" s="6" t="n"/>
    </row>
    <row r="337">
      <c r="J337" s="6" t="n"/>
      <c r="K337" s="6" t="n"/>
      <c r="M337" s="6" t="n"/>
    </row>
    <row r="338">
      <c r="J338" s="6" t="n"/>
      <c r="K338" s="6" t="n"/>
      <c r="M338" s="6" t="n"/>
    </row>
    <row r="339">
      <c r="J339" s="6" t="n"/>
      <c r="K339" s="6" t="n"/>
      <c r="M339" s="6" t="n"/>
    </row>
    <row r="340">
      <c r="J340" s="6" t="n"/>
      <c r="K340" s="6" t="n"/>
      <c r="M340" s="6" t="n"/>
    </row>
    <row r="341">
      <c r="J341" s="6" t="n"/>
      <c r="K341" s="6" t="n"/>
      <c r="M341" s="6" t="n"/>
    </row>
    <row r="342">
      <c r="J342" s="6" t="n"/>
      <c r="K342" s="6" t="n"/>
      <c r="M342" s="6" t="n"/>
    </row>
    <row r="343">
      <c r="J343" s="6" t="n"/>
      <c r="K343" s="6" t="n"/>
      <c r="M343" s="6" t="n"/>
    </row>
    <row r="344">
      <c r="J344" s="6" t="n"/>
      <c r="K344" s="6" t="n"/>
      <c r="M344" s="6" t="n"/>
    </row>
    <row r="345">
      <c r="J345" s="6" t="n"/>
      <c r="K345" s="6" t="n"/>
      <c r="M345" s="6" t="n"/>
    </row>
    <row r="346">
      <c r="J346" s="6" t="n"/>
      <c r="K346" s="6" t="n"/>
      <c r="M346" s="6" t="n"/>
    </row>
    <row r="347">
      <c r="J347" s="6" t="n"/>
      <c r="K347" s="6" t="n"/>
      <c r="M347" s="6" t="n"/>
    </row>
    <row r="348">
      <c r="J348" s="6" t="n"/>
      <c r="K348" s="6" t="n"/>
      <c r="M348" s="6" t="n"/>
    </row>
    <row r="349">
      <c r="J349" s="6" t="n"/>
      <c r="K349" s="6" t="n"/>
      <c r="M349" s="6" t="n"/>
    </row>
    <row r="350">
      <c r="J350" s="6" t="n"/>
      <c r="K350" s="6" t="n"/>
      <c r="M350" s="6" t="n"/>
    </row>
    <row r="351">
      <c r="J351" s="6" t="n"/>
      <c r="K351" s="6" t="n"/>
      <c r="M351" s="6" t="n"/>
    </row>
    <row r="352">
      <c r="J352" s="6" t="n"/>
      <c r="K352" s="6" t="n"/>
      <c r="M352" s="6" t="n"/>
    </row>
    <row r="353">
      <c r="J353" s="6" t="n"/>
      <c r="K353" s="6" t="n"/>
      <c r="M353" s="6" t="n"/>
    </row>
    <row r="354">
      <c r="J354" s="6" t="n"/>
      <c r="K354" s="6" t="n"/>
      <c r="M354" s="6" t="n"/>
    </row>
    <row r="355">
      <c r="J355" s="6" t="n"/>
      <c r="K355" s="6" t="n"/>
      <c r="M355" s="6" t="n"/>
    </row>
    <row r="356">
      <c r="J356" s="6" t="n"/>
      <c r="K356" s="6" t="n"/>
      <c r="M356" s="6" t="n"/>
    </row>
    <row r="357">
      <c r="J357" s="6" t="n"/>
      <c r="K357" s="6" t="n"/>
      <c r="M357" s="6" t="n"/>
    </row>
    <row r="358">
      <c r="J358" s="6" t="n"/>
      <c r="K358" s="6" t="n"/>
      <c r="M358" s="6" t="n"/>
    </row>
    <row r="359">
      <c r="J359" s="6" t="n"/>
      <c r="K359" s="6" t="n"/>
      <c r="M359" s="6" t="n"/>
    </row>
    <row r="360">
      <c r="J360" s="6" t="n"/>
      <c r="K360" s="6" t="n"/>
      <c r="M360" s="6" t="n"/>
    </row>
    <row r="361">
      <c r="J361" s="6" t="n"/>
      <c r="K361" s="6" t="n"/>
      <c r="M361" s="6" t="n"/>
    </row>
    <row r="362">
      <c r="J362" s="6" t="n"/>
      <c r="K362" s="6" t="n"/>
      <c r="M362" s="6" t="n"/>
    </row>
    <row r="363">
      <c r="J363" s="6" t="n"/>
      <c r="K363" s="6" t="n"/>
      <c r="M363" s="6" t="n"/>
    </row>
    <row r="364">
      <c r="J364" s="6" t="n"/>
      <c r="K364" s="6" t="n"/>
      <c r="M364" s="6" t="n"/>
    </row>
    <row r="365">
      <c r="J365" s="6" t="n"/>
      <c r="K365" s="6" t="n"/>
      <c r="M365" s="6" t="n"/>
    </row>
    <row r="366">
      <c r="J366" s="6" t="n"/>
      <c r="K366" s="6" t="n"/>
      <c r="M366" s="6" t="n"/>
    </row>
    <row r="367">
      <c r="J367" s="6" t="n"/>
      <c r="K367" s="6" t="n"/>
      <c r="M367" s="6" t="n"/>
    </row>
    <row r="368">
      <c r="J368" s="6" t="n"/>
      <c r="K368" s="6" t="n"/>
      <c r="M368" s="6" t="n"/>
    </row>
    <row r="369">
      <c r="J369" s="6" t="n"/>
      <c r="K369" s="6" t="n"/>
      <c r="M369" s="6" t="n"/>
    </row>
    <row r="370">
      <c r="J370" s="6" t="n"/>
      <c r="K370" s="6" t="n"/>
      <c r="M370" s="6" t="n"/>
    </row>
    <row r="371">
      <c r="J371" s="6" t="n"/>
      <c r="K371" s="6" t="n"/>
      <c r="M371" s="6" t="n"/>
    </row>
    <row r="372">
      <c r="J372" s="6" t="n"/>
      <c r="K372" s="6" t="n"/>
      <c r="M372" s="6" t="n"/>
    </row>
    <row r="373">
      <c r="J373" s="6" t="n"/>
      <c r="K373" s="6" t="n"/>
      <c r="M373" s="6" t="n"/>
    </row>
    <row r="374">
      <c r="J374" s="6" t="n"/>
      <c r="K374" s="6" t="n"/>
      <c r="M374" s="6" t="n"/>
    </row>
    <row r="375">
      <c r="J375" s="6" t="n"/>
      <c r="K375" s="6" t="n"/>
      <c r="M375" s="6" t="n"/>
    </row>
    <row r="376">
      <c r="J376" s="6" t="n"/>
      <c r="K376" s="6" t="n"/>
      <c r="M376" s="6" t="n"/>
    </row>
    <row r="377">
      <c r="J377" s="6" t="n"/>
      <c r="K377" s="6" t="n"/>
      <c r="M377" s="6" t="n"/>
    </row>
    <row r="378">
      <c r="J378" s="6" t="n"/>
      <c r="K378" s="6" t="n"/>
      <c r="M378" s="6" t="n"/>
    </row>
    <row r="379">
      <c r="J379" s="6" t="n"/>
      <c r="K379" s="6" t="n"/>
      <c r="M379" s="6" t="n"/>
    </row>
    <row r="380">
      <c r="J380" s="6" t="n"/>
      <c r="K380" s="6" t="n"/>
      <c r="M380" s="6" t="n"/>
    </row>
    <row r="381">
      <c r="J381" s="6" t="n"/>
      <c r="K381" s="6" t="n"/>
      <c r="M381" s="6" t="n"/>
    </row>
    <row r="382">
      <c r="J382" s="6" t="n"/>
      <c r="K382" s="6" t="n"/>
      <c r="M382" s="6" t="n"/>
    </row>
    <row r="383">
      <c r="J383" s="6" t="n"/>
      <c r="K383" s="6" t="n"/>
      <c r="M383" s="6" t="n"/>
    </row>
    <row r="384">
      <c r="J384" s="6" t="n"/>
      <c r="K384" s="6" t="n"/>
      <c r="M384" s="6" t="n"/>
    </row>
    <row r="385">
      <c r="J385" s="6" t="n"/>
      <c r="K385" s="6" t="n"/>
      <c r="M385" s="6" t="n"/>
    </row>
    <row r="386">
      <c r="J386" s="6" t="n"/>
      <c r="K386" s="6" t="n"/>
      <c r="M386" s="6" t="n"/>
    </row>
    <row r="387">
      <c r="J387" s="6" t="n"/>
      <c r="K387" s="6" t="n"/>
      <c r="M387" s="6" t="n"/>
    </row>
    <row r="388">
      <c r="J388" s="6" t="n"/>
      <c r="K388" s="6" t="n"/>
      <c r="M388" s="6" t="n"/>
    </row>
    <row r="389">
      <c r="J389" s="6" t="n"/>
      <c r="K389" s="6" t="n"/>
      <c r="M389" s="6" t="n"/>
    </row>
    <row r="390">
      <c r="J390" s="6" t="n"/>
      <c r="K390" s="6" t="n"/>
      <c r="M390" s="6" t="n"/>
    </row>
    <row r="391">
      <c r="J391" s="6" t="n"/>
      <c r="K391" s="6" t="n"/>
      <c r="M391" s="6" t="n"/>
    </row>
    <row r="392">
      <c r="J392" s="6" t="n"/>
      <c r="K392" s="6" t="n"/>
      <c r="M392" s="6" t="n"/>
    </row>
    <row r="393">
      <c r="J393" s="6" t="n"/>
      <c r="K393" s="6" t="n"/>
      <c r="M393" s="6" t="n"/>
    </row>
    <row r="394">
      <c r="J394" s="6" t="n"/>
      <c r="K394" s="6" t="n"/>
      <c r="M394" s="6" t="n"/>
    </row>
    <row r="395">
      <c r="J395" s="6" t="n"/>
      <c r="K395" s="6" t="n"/>
      <c r="M395" s="6" t="n"/>
    </row>
    <row r="396">
      <c r="J396" s="6" t="n"/>
      <c r="K396" s="6" t="n"/>
      <c r="M396" s="6" t="n"/>
    </row>
    <row r="397">
      <c r="J397" s="6" t="n"/>
      <c r="K397" s="6" t="n"/>
      <c r="M397" s="6" t="n"/>
    </row>
    <row r="398">
      <c r="J398" s="6" t="n"/>
      <c r="K398" s="6" t="n"/>
      <c r="M398" s="6" t="n"/>
    </row>
    <row r="399">
      <c r="J399" s="6" t="n"/>
      <c r="K399" s="6" t="n"/>
      <c r="M399" s="6" t="n"/>
    </row>
    <row r="400">
      <c r="J400" s="6" t="n"/>
      <c r="K400" s="6" t="n"/>
      <c r="M400" s="6" t="n"/>
    </row>
    <row r="401">
      <c r="J401" s="6" t="n"/>
      <c r="K401" s="6" t="n"/>
      <c r="M401" s="6" t="n"/>
    </row>
    <row r="402">
      <c r="J402" s="6" t="n"/>
      <c r="K402" s="6" t="n"/>
      <c r="M402" s="6" t="n"/>
    </row>
    <row r="403">
      <c r="J403" s="6" t="n"/>
      <c r="K403" s="6" t="n"/>
      <c r="M403" s="6" t="n"/>
    </row>
    <row r="404">
      <c r="J404" s="6" t="n"/>
      <c r="K404" s="6" t="n"/>
      <c r="M404" s="6" t="n"/>
    </row>
    <row r="405">
      <c r="J405" s="6" t="n"/>
      <c r="K405" s="6" t="n"/>
      <c r="M405" s="6" t="n"/>
    </row>
    <row r="406">
      <c r="J406" s="6" t="n"/>
      <c r="K406" s="6" t="n"/>
      <c r="M406" s="6" t="n"/>
    </row>
    <row r="407">
      <c r="J407" s="6" t="n"/>
      <c r="K407" s="6" t="n"/>
      <c r="M407" s="6" t="n"/>
    </row>
    <row r="408">
      <c r="J408" s="6" t="n"/>
      <c r="K408" s="6" t="n"/>
      <c r="M408" s="6" t="n"/>
    </row>
    <row r="409">
      <c r="J409" s="6" t="n"/>
      <c r="K409" s="6" t="n"/>
      <c r="M409" s="6" t="n"/>
    </row>
    <row r="410">
      <c r="J410" s="6" t="n"/>
      <c r="K410" s="6" t="n"/>
      <c r="M410" s="6" t="n"/>
    </row>
    <row r="411">
      <c r="J411" s="6" t="n"/>
      <c r="K411" s="6" t="n"/>
      <c r="M411" s="6" t="n"/>
    </row>
    <row r="412">
      <c r="J412" s="6" t="n"/>
      <c r="K412" s="6" t="n"/>
      <c r="M412" s="6" t="n"/>
    </row>
    <row r="413">
      <c r="J413" s="6" t="n"/>
      <c r="K413" s="6" t="n"/>
      <c r="M413" s="6" t="n"/>
    </row>
    <row r="414">
      <c r="J414" s="6" t="n"/>
      <c r="K414" s="6" t="n"/>
      <c r="M414" s="6" t="n"/>
    </row>
    <row r="415">
      <c r="J415" s="6" t="n"/>
      <c r="K415" s="6" t="n"/>
      <c r="M415" s="6" t="n"/>
    </row>
    <row r="416">
      <c r="J416" s="6" t="n"/>
      <c r="K416" s="6" t="n"/>
      <c r="M416" s="6" t="n"/>
    </row>
    <row r="417">
      <c r="J417" s="6" t="n"/>
      <c r="K417" s="6" t="n"/>
      <c r="M417" s="6" t="n"/>
    </row>
    <row r="418">
      <c r="J418" s="6" t="n"/>
      <c r="K418" s="6" t="n"/>
      <c r="M418" s="6" t="n"/>
    </row>
    <row r="419">
      <c r="J419" s="6" t="n"/>
      <c r="K419" s="6" t="n"/>
      <c r="M419" s="6" t="n"/>
    </row>
    <row r="420">
      <c r="J420" s="6" t="n"/>
      <c r="K420" s="6" t="n"/>
      <c r="M420" s="6" t="n"/>
    </row>
    <row r="421">
      <c r="J421" s="6" t="n"/>
      <c r="K421" s="6" t="n"/>
      <c r="M421" s="6" t="n"/>
    </row>
    <row r="422">
      <c r="J422" s="6" t="n"/>
      <c r="K422" s="6" t="n"/>
      <c r="M422" s="6" t="n"/>
    </row>
    <row r="423">
      <c r="J423" s="6" t="n"/>
      <c r="K423" s="6" t="n"/>
      <c r="M423" s="6" t="n"/>
    </row>
    <row r="424">
      <c r="J424" s="6" t="n"/>
      <c r="K424" s="6" t="n"/>
      <c r="M424" s="6" t="n"/>
    </row>
    <row r="425">
      <c r="J425" s="6" t="n"/>
      <c r="K425" s="6" t="n"/>
      <c r="M425" s="6" t="n"/>
    </row>
    <row r="426">
      <c r="J426" s="6" t="n"/>
      <c r="K426" s="6" t="n"/>
      <c r="M426" s="6" t="n"/>
    </row>
    <row r="427">
      <c r="J427" s="6" t="n"/>
      <c r="K427" s="6" t="n"/>
      <c r="M427" s="6" t="n"/>
    </row>
    <row r="428">
      <c r="J428" s="6" t="n"/>
      <c r="K428" s="6" t="n"/>
      <c r="M428" s="6" t="n"/>
    </row>
    <row r="429">
      <c r="J429" s="6" t="n"/>
      <c r="K429" s="6" t="n"/>
      <c r="M429" s="6" t="n"/>
    </row>
    <row r="430">
      <c r="J430" s="6" t="n"/>
      <c r="K430" s="6" t="n"/>
      <c r="M430" s="6" t="n"/>
    </row>
    <row r="431">
      <c r="J431" s="6" t="n"/>
      <c r="K431" s="6" t="n"/>
      <c r="M431" s="6" t="n"/>
    </row>
    <row r="432">
      <c r="J432" s="6" t="n"/>
      <c r="K432" s="6" t="n"/>
      <c r="M432" s="6" t="n"/>
    </row>
    <row r="433">
      <c r="J433" s="6" t="n"/>
      <c r="K433" s="6" t="n"/>
      <c r="M433" s="6" t="n"/>
    </row>
    <row r="434">
      <c r="J434" s="6" t="n"/>
      <c r="K434" s="6" t="n"/>
      <c r="M434" s="6" t="n"/>
    </row>
    <row r="435">
      <c r="J435" s="6" t="n"/>
      <c r="K435" s="6" t="n"/>
      <c r="M435" s="6" t="n"/>
    </row>
    <row r="436">
      <c r="J436" s="6" t="n"/>
      <c r="K436" s="6" t="n"/>
      <c r="M436" s="6" t="n"/>
    </row>
    <row r="437">
      <c r="J437" s="6" t="n"/>
      <c r="K437" s="6" t="n"/>
      <c r="M437" s="6" t="n"/>
    </row>
    <row r="438">
      <c r="J438" s="6" t="n"/>
      <c r="K438" s="6" t="n"/>
      <c r="M438" s="6" t="n"/>
    </row>
    <row r="439">
      <c r="J439" s="6" t="n"/>
      <c r="K439" s="6" t="n"/>
      <c r="M439" s="6" t="n"/>
    </row>
    <row r="440">
      <c r="J440" s="6" t="n"/>
      <c r="K440" s="6" t="n"/>
      <c r="M440" s="6" t="n"/>
    </row>
    <row r="441">
      <c r="J441" s="6" t="n"/>
      <c r="K441" s="6" t="n"/>
      <c r="M441" s="6" t="n"/>
    </row>
    <row r="442">
      <c r="J442" s="6" t="n"/>
      <c r="K442" s="6" t="n"/>
      <c r="M442" s="6" t="n"/>
    </row>
    <row r="443">
      <c r="J443" s="6" t="n"/>
      <c r="K443" s="6" t="n"/>
      <c r="M443" s="6" t="n"/>
    </row>
    <row r="444">
      <c r="J444" s="6" t="n"/>
      <c r="K444" s="6" t="n"/>
      <c r="M444" s="6" t="n"/>
    </row>
    <row r="445">
      <c r="J445" s="6" t="n"/>
      <c r="K445" s="6" t="n"/>
      <c r="M445" s="6" t="n"/>
    </row>
    <row r="446">
      <c r="J446" s="6" t="n"/>
      <c r="K446" s="6" t="n"/>
      <c r="M446" s="6" t="n"/>
    </row>
    <row r="447">
      <c r="J447" s="6" t="n"/>
      <c r="K447" s="6" t="n"/>
      <c r="M447" s="6" t="n"/>
    </row>
    <row r="448">
      <c r="J448" s="6" t="n"/>
      <c r="K448" s="6" t="n"/>
      <c r="M448" s="6" t="n"/>
    </row>
    <row r="449">
      <c r="J449" s="6" t="n"/>
      <c r="K449" s="6" t="n"/>
      <c r="M449" s="6" t="n"/>
    </row>
    <row r="450">
      <c r="J450" s="6" t="n"/>
      <c r="K450" s="6" t="n"/>
      <c r="M450" s="6" t="n"/>
    </row>
    <row r="451">
      <c r="J451" s="6" t="n"/>
      <c r="K451" s="6" t="n"/>
      <c r="M451" s="6" t="n"/>
    </row>
    <row r="452">
      <c r="J452" s="6" t="n"/>
      <c r="K452" s="6" t="n"/>
      <c r="M452" s="6" t="n"/>
    </row>
    <row r="453">
      <c r="J453" s="6" t="n"/>
      <c r="K453" s="6" t="n"/>
      <c r="M453" s="6" t="n"/>
    </row>
    <row r="454">
      <c r="J454" s="6" t="n"/>
      <c r="K454" s="6" t="n"/>
      <c r="M454" s="6" t="n"/>
    </row>
    <row r="455">
      <c r="J455" s="6" t="n"/>
      <c r="K455" s="6" t="n"/>
      <c r="M455" s="6" t="n"/>
    </row>
    <row r="456">
      <c r="J456" s="6" t="n"/>
      <c r="K456" s="6" t="n"/>
      <c r="M456" s="6" t="n"/>
    </row>
    <row r="457">
      <c r="J457" s="6" t="n"/>
      <c r="K457" s="6" t="n"/>
      <c r="M457" s="6" t="n"/>
    </row>
    <row r="458">
      <c r="J458" s="6" t="n"/>
      <c r="K458" s="6" t="n"/>
      <c r="M458" s="6" t="n"/>
    </row>
    <row r="459">
      <c r="J459" s="6" t="n"/>
      <c r="K459" s="6" t="n"/>
      <c r="M459" s="6" t="n"/>
    </row>
    <row r="460">
      <c r="J460" s="6" t="n"/>
      <c r="K460" s="6" t="n"/>
      <c r="M460" s="6" t="n"/>
    </row>
    <row r="461">
      <c r="J461" s="6" t="n"/>
      <c r="K461" s="6" t="n"/>
      <c r="M461" s="6" t="n"/>
    </row>
    <row r="462">
      <c r="J462" s="6" t="n"/>
      <c r="K462" s="6" t="n"/>
      <c r="M462" s="6" t="n"/>
    </row>
    <row r="463">
      <c r="J463" s="6" t="n"/>
      <c r="K463" s="6" t="n"/>
      <c r="M463" s="6" t="n"/>
    </row>
    <row r="464">
      <c r="J464" s="6" t="n"/>
      <c r="K464" s="6" t="n"/>
      <c r="M464" s="6" t="n"/>
    </row>
    <row r="465">
      <c r="J465" s="6" t="n"/>
      <c r="K465" s="6" t="n"/>
      <c r="M465" s="6" t="n"/>
    </row>
    <row r="466">
      <c r="J466" s="6" t="n"/>
      <c r="K466" s="6" t="n"/>
      <c r="M466" s="6" t="n"/>
    </row>
    <row r="467">
      <c r="J467" s="6" t="n"/>
      <c r="K467" s="6" t="n"/>
      <c r="M467" s="6" t="n"/>
    </row>
    <row r="468">
      <c r="J468" s="6" t="n"/>
      <c r="K468" s="6" t="n"/>
      <c r="M468" s="6" t="n"/>
    </row>
    <row r="469">
      <c r="J469" s="6" t="n"/>
      <c r="K469" s="6" t="n"/>
      <c r="M469" s="6" t="n"/>
    </row>
    <row r="470">
      <c r="J470" s="6" t="n"/>
      <c r="K470" s="6" t="n"/>
      <c r="M470" s="6" t="n"/>
    </row>
    <row r="471">
      <c r="J471" s="6" t="n"/>
      <c r="K471" s="6" t="n"/>
      <c r="M471" s="6" t="n"/>
    </row>
    <row r="472">
      <c r="J472" s="6" t="n"/>
      <c r="K472" s="6" t="n"/>
      <c r="M472" s="6" t="n"/>
    </row>
    <row r="473">
      <c r="J473" s="6" t="n"/>
      <c r="K473" s="6" t="n"/>
      <c r="M473" s="6" t="n"/>
    </row>
    <row r="474">
      <c r="J474" s="6" t="n"/>
      <c r="K474" s="6" t="n"/>
      <c r="M474" s="6" t="n"/>
    </row>
    <row r="475">
      <c r="J475" s="6" t="n"/>
      <c r="K475" s="6" t="n"/>
      <c r="M475" s="6" t="n"/>
    </row>
    <row r="476">
      <c r="J476" s="6" t="n"/>
      <c r="K476" s="6" t="n"/>
      <c r="M476" s="6" t="n"/>
    </row>
    <row r="477">
      <c r="J477" s="6" t="n"/>
      <c r="K477" s="6" t="n"/>
      <c r="M477" s="6" t="n"/>
    </row>
    <row r="478">
      <c r="J478" s="6" t="n"/>
      <c r="K478" s="6" t="n"/>
      <c r="M478" s="6" t="n"/>
    </row>
    <row r="479">
      <c r="J479" s="6" t="n"/>
      <c r="K479" s="6" t="n"/>
      <c r="M479" s="6" t="n"/>
    </row>
    <row r="480">
      <c r="J480" s="6" t="n"/>
      <c r="K480" s="6" t="n"/>
      <c r="M480" s="6" t="n"/>
    </row>
    <row r="481">
      <c r="J481" s="6" t="n"/>
      <c r="K481" s="6" t="n"/>
      <c r="M481" s="6" t="n"/>
    </row>
    <row r="482">
      <c r="J482" s="6" t="n"/>
      <c r="K482" s="6" t="n"/>
      <c r="M482" s="6" t="n"/>
    </row>
    <row r="483">
      <c r="J483" s="6" t="n"/>
      <c r="K483" s="6" t="n"/>
      <c r="M483" s="6" t="n"/>
    </row>
    <row r="484">
      <c r="J484" s="6" t="n"/>
      <c r="K484" s="6" t="n"/>
      <c r="M484" s="6" t="n"/>
    </row>
    <row r="485">
      <c r="J485" s="6" t="n"/>
      <c r="K485" s="6" t="n"/>
      <c r="M485" s="6" t="n"/>
    </row>
    <row r="486">
      <c r="J486" s="6" t="n"/>
      <c r="K486" s="6" t="n"/>
      <c r="M486" s="6" t="n"/>
    </row>
    <row r="487">
      <c r="J487" s="6" t="n"/>
      <c r="K487" s="6" t="n"/>
      <c r="M487" s="6" t="n"/>
    </row>
    <row r="488">
      <c r="J488" s="6" t="n"/>
      <c r="K488" s="6" t="n"/>
      <c r="M488" s="6" t="n"/>
    </row>
    <row r="489">
      <c r="J489" s="6" t="n"/>
      <c r="K489" s="6" t="n"/>
      <c r="M489" s="6" t="n"/>
    </row>
    <row r="490">
      <c r="J490" s="6" t="n"/>
      <c r="K490" s="6" t="n"/>
      <c r="M490" s="6" t="n"/>
    </row>
    <row r="491">
      <c r="J491" s="6" t="n"/>
      <c r="K491" s="6" t="n"/>
      <c r="M491" s="6" t="n"/>
    </row>
    <row r="492">
      <c r="J492" s="6" t="n"/>
      <c r="K492" s="6" t="n"/>
      <c r="M492" s="6" t="n"/>
    </row>
    <row r="493">
      <c r="J493" s="6" t="n"/>
      <c r="K493" s="6" t="n"/>
      <c r="M493" s="6" t="n"/>
    </row>
    <row r="494">
      <c r="J494" s="6" t="n"/>
      <c r="K494" s="6" t="n"/>
      <c r="M494" s="6" t="n"/>
    </row>
    <row r="495">
      <c r="J495" s="6" t="n"/>
      <c r="K495" s="6" t="n"/>
      <c r="M495" s="6" t="n"/>
    </row>
    <row r="496">
      <c r="J496" s="6" t="n"/>
      <c r="K496" s="6" t="n"/>
      <c r="M496" s="6" t="n"/>
    </row>
    <row r="497">
      <c r="J497" s="6" t="n"/>
      <c r="K497" s="6" t="n"/>
      <c r="M497" s="6" t="n"/>
    </row>
    <row r="498">
      <c r="J498" s="6" t="n"/>
      <c r="K498" s="6" t="n"/>
      <c r="M498" s="6" t="n"/>
    </row>
    <row r="499">
      <c r="J499" s="6" t="n"/>
      <c r="K499" s="6" t="n"/>
      <c r="M499" s="6" t="n"/>
    </row>
    <row r="500">
      <c r="J500" s="6" t="n"/>
      <c r="K500" s="6" t="n"/>
      <c r="M500" s="6" t="n"/>
    </row>
  </sheetData>
  <dataValidations count="1">
    <dataValidation sqref="R2:R1000" showDropDown="0" showInputMessage="0" showErrorMessage="0" allowBlank="1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3" customWidth="1" min="12" max="12"/>
    <col width="10" customWidth="1" min="13" max="13"/>
    <col width="13" customWidth="1" min="14" max="14"/>
    <col width="12" customWidth="1" min="15" max="15"/>
    <col width="19" customWidth="1" min="16" max="16"/>
    <col width="10" customWidth="1" min="17" max="17"/>
  </cols>
  <sheetData>
    <row r="1" ht="22" customHeight="1">
      <c r="A1" s="4" t="inlineStr">
        <is>
          <t>HoldingID</t>
        </is>
      </c>
      <c r="B1" s="4" t="inlineStr">
        <is>
          <t>AssetID</t>
        </is>
      </c>
      <c r="C1" s="4" t="inlineStr">
        <is>
          <t>ISIN</t>
        </is>
      </c>
      <c r="D1" s="4" t="inlineStr">
        <is>
          <t>Ticker</t>
        </is>
      </c>
      <c r="E1" s="4" t="inlineStr">
        <is>
          <t>FundName</t>
        </is>
      </c>
      <c r="F1" s="4" t="inlineStr">
        <is>
          <t>AssetType</t>
        </is>
      </c>
      <c r="G1" s="4" t="inlineStr">
        <is>
          <t>Region</t>
        </is>
      </c>
      <c r="H1" s="4" t="inlineStr">
        <is>
          <t>Sector</t>
        </is>
      </c>
      <c r="I1" s="4" t="inlineStr">
        <is>
          <t>RiskCategory</t>
        </is>
      </c>
      <c r="J1" s="4" t="inlineStr">
        <is>
          <t>Units</t>
        </is>
      </c>
      <c r="K1" s="4" t="inlineStr">
        <is>
          <t>Price</t>
        </is>
      </c>
      <c r="L1" s="4" t="inlineStr">
        <is>
          <t>MarketValue</t>
        </is>
      </c>
      <c r="M1" s="4" t="inlineStr">
        <is>
          <t>OCF</t>
        </is>
      </c>
      <c r="N1" s="4" t="inlineStr">
        <is>
          <t>PlatformFee</t>
        </is>
      </c>
      <c r="O1" s="4" t="inlineStr">
        <is>
          <t>AdviserFee</t>
        </is>
      </c>
      <c r="P1" s="4" t="inlineStr">
        <is>
          <t>TotalEstimatedFee</t>
        </is>
      </c>
      <c r="Q1" s="4" t="inlineStr">
        <is>
          <t>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0" customWidth="1" min="5" max="5"/>
    <col width="11" customWidth="1" min="6" max="6"/>
    <col width="21" customWidth="1" min="7" max="7"/>
    <col width="14" customWidth="1" min="8" max="8"/>
    <col width="20" customWidth="1" min="9" max="9"/>
    <col width="23" customWidth="1" min="10" max="10"/>
    <col width="17" customWidth="1" min="11" max="11"/>
    <col width="28" customWidth="1" min="12" max="12"/>
    <col width="15" customWidth="1" min="13" max="13"/>
    <col width="29" customWidth="1" min="14" max="14"/>
    <col width="16" customWidth="1" min="15" max="15"/>
    <col width="10" customWidth="1" min="16" max="16"/>
  </cols>
  <sheetData>
    <row r="1" ht="22" customHeight="1">
      <c r="A1" s="4" t="inlineStr">
        <is>
          <t>PensionID</t>
        </is>
      </c>
      <c r="B1" s="4" t="inlineStr">
        <is>
          <t>AssetID</t>
        </is>
      </c>
      <c r="C1" s="4" t="inlineStr">
        <is>
          <t>SchemeType</t>
        </is>
      </c>
      <c r="D1" s="4" t="inlineStr">
        <is>
          <t>SchemeName</t>
        </is>
      </c>
      <c r="E1" s="4" t="inlineStr">
        <is>
          <t>Provider</t>
        </is>
      </c>
      <c r="F1" s="4" t="inlineStr">
        <is>
          <t>StartDate</t>
        </is>
      </c>
      <c r="G1" s="4" t="inlineStr">
        <is>
          <t>NormalRetirementAge</t>
        </is>
      </c>
      <c r="H1" s="4" t="inlineStr">
        <is>
          <t>CurrentValue</t>
        </is>
      </c>
      <c r="I1" s="4" t="inlineStr">
        <is>
          <t>ContributionAmount</t>
        </is>
      </c>
      <c r="J1" s="4" t="inlineStr">
        <is>
          <t>ContributionFrequency</t>
        </is>
      </c>
      <c r="K1" s="4" t="inlineStr">
        <is>
          <t>EmployerContrib</t>
        </is>
      </c>
      <c r="L1" s="4" t="inlineStr">
        <is>
          <t>ProtectedAgesOrProtections</t>
        </is>
      </c>
      <c r="M1" s="4" t="inlineStr">
        <is>
          <t>LTA_LSA_Notes</t>
        </is>
      </c>
      <c r="N1" s="4" t="inlineStr">
        <is>
          <t>BeneficiaryNominationStatus</t>
        </is>
      </c>
      <c r="O1" s="4" t="inlineStr">
        <is>
          <t>KnownTaxIssues</t>
        </is>
      </c>
      <c r="P1" s="4" t="inlineStr">
        <is>
          <t>Notes</t>
        </is>
      </c>
    </row>
    <row r="2">
      <c r="F2" s="5" t="n"/>
      <c r="H2" s="6" t="n"/>
      <c r="I2" s="6" t="n"/>
      <c r="K2" s="6" t="n"/>
    </row>
    <row r="3">
      <c r="F3" s="5" t="n"/>
      <c r="H3" s="6" t="n"/>
      <c r="I3" s="6" t="n"/>
      <c r="K3" s="6" t="n"/>
    </row>
    <row r="4">
      <c r="F4" s="5" t="n"/>
      <c r="H4" s="6" t="n"/>
      <c r="I4" s="6" t="n"/>
      <c r="K4" s="6" t="n"/>
    </row>
    <row r="5">
      <c r="F5" s="5" t="n"/>
      <c r="H5" s="6" t="n"/>
      <c r="I5" s="6" t="n"/>
      <c r="K5" s="6" t="n"/>
    </row>
    <row r="6">
      <c r="F6" s="5" t="n"/>
      <c r="H6" s="6" t="n"/>
      <c r="I6" s="6" t="n"/>
      <c r="K6" s="6" t="n"/>
    </row>
    <row r="7">
      <c r="F7" s="5" t="n"/>
      <c r="H7" s="6" t="n"/>
      <c r="I7" s="6" t="n"/>
      <c r="K7" s="6" t="n"/>
    </row>
    <row r="8">
      <c r="F8" s="5" t="n"/>
      <c r="H8" s="6" t="n"/>
      <c r="I8" s="6" t="n"/>
      <c r="K8" s="6" t="n"/>
    </row>
    <row r="9">
      <c r="F9" s="5" t="n"/>
      <c r="H9" s="6" t="n"/>
      <c r="I9" s="6" t="n"/>
      <c r="K9" s="6" t="n"/>
    </row>
    <row r="10">
      <c r="F10" s="5" t="n"/>
      <c r="H10" s="6" t="n"/>
      <c r="I10" s="6" t="n"/>
      <c r="K10" s="6" t="n"/>
    </row>
    <row r="11">
      <c r="F11" s="5" t="n"/>
      <c r="H11" s="6" t="n"/>
      <c r="I11" s="6" t="n"/>
      <c r="K11" s="6" t="n"/>
    </row>
    <row r="12">
      <c r="F12" s="5" t="n"/>
      <c r="H12" s="6" t="n"/>
      <c r="I12" s="6" t="n"/>
      <c r="K12" s="6" t="n"/>
    </row>
    <row r="13">
      <c r="F13" s="5" t="n"/>
      <c r="H13" s="6" t="n"/>
      <c r="I13" s="6" t="n"/>
      <c r="K13" s="6" t="n"/>
    </row>
    <row r="14">
      <c r="F14" s="5" t="n"/>
      <c r="H14" s="6" t="n"/>
      <c r="I14" s="6" t="n"/>
      <c r="K14" s="6" t="n"/>
    </row>
    <row r="15">
      <c r="F15" s="5" t="n"/>
      <c r="H15" s="6" t="n"/>
      <c r="I15" s="6" t="n"/>
      <c r="K15" s="6" t="n"/>
    </row>
    <row r="16">
      <c r="F16" s="5" t="n"/>
      <c r="H16" s="6" t="n"/>
      <c r="I16" s="6" t="n"/>
      <c r="K16" s="6" t="n"/>
    </row>
    <row r="17">
      <c r="F17" s="5" t="n"/>
      <c r="H17" s="6" t="n"/>
      <c r="I17" s="6" t="n"/>
      <c r="K17" s="6" t="n"/>
    </row>
    <row r="18">
      <c r="F18" s="5" t="n"/>
      <c r="H18" s="6" t="n"/>
      <c r="I18" s="6" t="n"/>
      <c r="K18" s="6" t="n"/>
    </row>
    <row r="19">
      <c r="F19" s="5" t="n"/>
      <c r="H19" s="6" t="n"/>
      <c r="I19" s="6" t="n"/>
      <c r="K19" s="6" t="n"/>
    </row>
    <row r="20">
      <c r="F20" s="5" t="n"/>
      <c r="H20" s="6" t="n"/>
      <c r="I20" s="6" t="n"/>
      <c r="K20" s="6" t="n"/>
    </row>
    <row r="21">
      <c r="F21" s="5" t="n"/>
      <c r="H21" s="6" t="n"/>
      <c r="I21" s="6" t="n"/>
      <c r="K21" s="6" t="n"/>
    </row>
    <row r="22">
      <c r="F22" s="5" t="n"/>
      <c r="H22" s="6" t="n"/>
      <c r="I22" s="6" t="n"/>
      <c r="K22" s="6" t="n"/>
    </row>
    <row r="23">
      <c r="F23" s="5" t="n"/>
      <c r="H23" s="6" t="n"/>
      <c r="I23" s="6" t="n"/>
      <c r="K23" s="6" t="n"/>
    </row>
    <row r="24">
      <c r="F24" s="5" t="n"/>
      <c r="H24" s="6" t="n"/>
      <c r="I24" s="6" t="n"/>
      <c r="K24" s="6" t="n"/>
    </row>
    <row r="25">
      <c r="F25" s="5" t="n"/>
      <c r="H25" s="6" t="n"/>
      <c r="I25" s="6" t="n"/>
      <c r="K25" s="6" t="n"/>
    </row>
    <row r="26">
      <c r="F26" s="5" t="n"/>
      <c r="H26" s="6" t="n"/>
      <c r="I26" s="6" t="n"/>
      <c r="K26" s="6" t="n"/>
    </row>
    <row r="27">
      <c r="F27" s="5" t="n"/>
      <c r="H27" s="6" t="n"/>
      <c r="I27" s="6" t="n"/>
      <c r="K27" s="6" t="n"/>
    </row>
    <row r="28">
      <c r="F28" s="5" t="n"/>
      <c r="H28" s="6" t="n"/>
      <c r="I28" s="6" t="n"/>
      <c r="K28" s="6" t="n"/>
    </row>
    <row r="29">
      <c r="F29" s="5" t="n"/>
      <c r="H29" s="6" t="n"/>
      <c r="I29" s="6" t="n"/>
      <c r="K29" s="6" t="n"/>
    </row>
    <row r="30">
      <c r="F30" s="5" t="n"/>
      <c r="H30" s="6" t="n"/>
      <c r="I30" s="6" t="n"/>
      <c r="K30" s="6" t="n"/>
    </row>
    <row r="31">
      <c r="F31" s="5" t="n"/>
      <c r="H31" s="6" t="n"/>
      <c r="I31" s="6" t="n"/>
      <c r="K31" s="6" t="n"/>
    </row>
    <row r="32">
      <c r="F32" s="5" t="n"/>
      <c r="H32" s="6" t="n"/>
      <c r="I32" s="6" t="n"/>
      <c r="K32" s="6" t="n"/>
    </row>
    <row r="33">
      <c r="F33" s="5" t="n"/>
      <c r="H33" s="6" t="n"/>
      <c r="I33" s="6" t="n"/>
      <c r="K33" s="6" t="n"/>
    </row>
    <row r="34">
      <c r="F34" s="5" t="n"/>
      <c r="H34" s="6" t="n"/>
      <c r="I34" s="6" t="n"/>
      <c r="K34" s="6" t="n"/>
    </row>
    <row r="35">
      <c r="F35" s="5" t="n"/>
      <c r="H35" s="6" t="n"/>
      <c r="I35" s="6" t="n"/>
      <c r="K35" s="6" t="n"/>
    </row>
    <row r="36">
      <c r="F36" s="5" t="n"/>
      <c r="H36" s="6" t="n"/>
      <c r="I36" s="6" t="n"/>
      <c r="K36" s="6" t="n"/>
    </row>
    <row r="37">
      <c r="F37" s="5" t="n"/>
      <c r="H37" s="6" t="n"/>
      <c r="I37" s="6" t="n"/>
      <c r="K37" s="6" t="n"/>
    </row>
    <row r="38">
      <c r="F38" s="5" t="n"/>
      <c r="H38" s="6" t="n"/>
      <c r="I38" s="6" t="n"/>
      <c r="K38" s="6" t="n"/>
    </row>
    <row r="39">
      <c r="F39" s="5" t="n"/>
      <c r="H39" s="6" t="n"/>
      <c r="I39" s="6" t="n"/>
      <c r="K39" s="6" t="n"/>
    </row>
    <row r="40">
      <c r="F40" s="5" t="n"/>
      <c r="H40" s="6" t="n"/>
      <c r="I40" s="6" t="n"/>
      <c r="K40" s="6" t="n"/>
    </row>
    <row r="41">
      <c r="F41" s="5" t="n"/>
      <c r="H41" s="6" t="n"/>
      <c r="I41" s="6" t="n"/>
      <c r="K41" s="6" t="n"/>
    </row>
    <row r="42">
      <c r="F42" s="5" t="n"/>
      <c r="H42" s="6" t="n"/>
      <c r="I42" s="6" t="n"/>
      <c r="K42" s="6" t="n"/>
    </row>
    <row r="43">
      <c r="F43" s="5" t="n"/>
      <c r="H43" s="6" t="n"/>
      <c r="I43" s="6" t="n"/>
      <c r="K43" s="6" t="n"/>
    </row>
    <row r="44">
      <c r="F44" s="5" t="n"/>
      <c r="H44" s="6" t="n"/>
      <c r="I44" s="6" t="n"/>
      <c r="K44" s="6" t="n"/>
    </row>
    <row r="45">
      <c r="F45" s="5" t="n"/>
      <c r="H45" s="6" t="n"/>
      <c r="I45" s="6" t="n"/>
      <c r="K45" s="6" t="n"/>
    </row>
    <row r="46">
      <c r="F46" s="5" t="n"/>
      <c r="H46" s="6" t="n"/>
      <c r="I46" s="6" t="n"/>
      <c r="K46" s="6" t="n"/>
    </row>
    <row r="47">
      <c r="F47" s="5" t="n"/>
      <c r="H47" s="6" t="n"/>
      <c r="I47" s="6" t="n"/>
      <c r="K47" s="6" t="n"/>
    </row>
    <row r="48">
      <c r="F48" s="5" t="n"/>
      <c r="H48" s="6" t="n"/>
      <c r="I48" s="6" t="n"/>
      <c r="K48" s="6" t="n"/>
    </row>
    <row r="49">
      <c r="F49" s="5" t="n"/>
      <c r="H49" s="6" t="n"/>
      <c r="I49" s="6" t="n"/>
      <c r="K49" s="6" t="n"/>
    </row>
    <row r="50">
      <c r="F50" s="5" t="n"/>
      <c r="H50" s="6" t="n"/>
      <c r="I50" s="6" t="n"/>
      <c r="K50" s="6" t="n"/>
    </row>
    <row r="51">
      <c r="F51" s="5" t="n"/>
      <c r="H51" s="6" t="n"/>
      <c r="I51" s="6" t="n"/>
      <c r="K51" s="6" t="n"/>
    </row>
    <row r="52">
      <c r="F52" s="5" t="n"/>
      <c r="H52" s="6" t="n"/>
      <c r="I52" s="6" t="n"/>
      <c r="K52" s="6" t="n"/>
    </row>
    <row r="53">
      <c r="F53" s="5" t="n"/>
      <c r="H53" s="6" t="n"/>
      <c r="I53" s="6" t="n"/>
      <c r="K53" s="6" t="n"/>
    </row>
    <row r="54">
      <c r="F54" s="5" t="n"/>
      <c r="H54" s="6" t="n"/>
      <c r="I54" s="6" t="n"/>
      <c r="K54" s="6" t="n"/>
    </row>
    <row r="55">
      <c r="F55" s="5" t="n"/>
      <c r="H55" s="6" t="n"/>
      <c r="I55" s="6" t="n"/>
      <c r="K55" s="6" t="n"/>
    </row>
    <row r="56">
      <c r="F56" s="5" t="n"/>
      <c r="H56" s="6" t="n"/>
      <c r="I56" s="6" t="n"/>
      <c r="K56" s="6" t="n"/>
    </row>
    <row r="57">
      <c r="F57" s="5" t="n"/>
      <c r="H57" s="6" t="n"/>
      <c r="I57" s="6" t="n"/>
      <c r="K57" s="6" t="n"/>
    </row>
    <row r="58">
      <c r="F58" s="5" t="n"/>
      <c r="H58" s="6" t="n"/>
      <c r="I58" s="6" t="n"/>
      <c r="K58" s="6" t="n"/>
    </row>
    <row r="59">
      <c r="F59" s="5" t="n"/>
      <c r="H59" s="6" t="n"/>
      <c r="I59" s="6" t="n"/>
      <c r="K59" s="6" t="n"/>
    </row>
    <row r="60">
      <c r="F60" s="5" t="n"/>
      <c r="H60" s="6" t="n"/>
      <c r="I60" s="6" t="n"/>
      <c r="K60" s="6" t="n"/>
    </row>
    <row r="61">
      <c r="F61" s="5" t="n"/>
      <c r="H61" s="6" t="n"/>
      <c r="I61" s="6" t="n"/>
      <c r="K61" s="6" t="n"/>
    </row>
    <row r="62">
      <c r="F62" s="5" t="n"/>
      <c r="H62" s="6" t="n"/>
      <c r="I62" s="6" t="n"/>
      <c r="K62" s="6" t="n"/>
    </row>
    <row r="63">
      <c r="F63" s="5" t="n"/>
      <c r="H63" s="6" t="n"/>
      <c r="I63" s="6" t="n"/>
      <c r="K63" s="6" t="n"/>
    </row>
    <row r="64">
      <c r="F64" s="5" t="n"/>
      <c r="H64" s="6" t="n"/>
      <c r="I64" s="6" t="n"/>
      <c r="K64" s="6" t="n"/>
    </row>
    <row r="65">
      <c r="F65" s="5" t="n"/>
      <c r="H65" s="6" t="n"/>
      <c r="I65" s="6" t="n"/>
      <c r="K65" s="6" t="n"/>
    </row>
    <row r="66">
      <c r="F66" s="5" t="n"/>
      <c r="H66" s="6" t="n"/>
      <c r="I66" s="6" t="n"/>
      <c r="K66" s="6" t="n"/>
    </row>
    <row r="67">
      <c r="F67" s="5" t="n"/>
      <c r="H67" s="6" t="n"/>
      <c r="I67" s="6" t="n"/>
      <c r="K67" s="6" t="n"/>
    </row>
    <row r="68">
      <c r="F68" s="5" t="n"/>
      <c r="H68" s="6" t="n"/>
      <c r="I68" s="6" t="n"/>
      <c r="K68" s="6" t="n"/>
    </row>
    <row r="69">
      <c r="F69" s="5" t="n"/>
      <c r="H69" s="6" t="n"/>
      <c r="I69" s="6" t="n"/>
      <c r="K69" s="6" t="n"/>
    </row>
    <row r="70">
      <c r="F70" s="5" t="n"/>
      <c r="H70" s="6" t="n"/>
      <c r="I70" s="6" t="n"/>
      <c r="K70" s="6" t="n"/>
    </row>
    <row r="71">
      <c r="F71" s="5" t="n"/>
      <c r="H71" s="6" t="n"/>
      <c r="I71" s="6" t="n"/>
      <c r="K71" s="6" t="n"/>
    </row>
    <row r="72">
      <c r="F72" s="5" t="n"/>
      <c r="H72" s="6" t="n"/>
      <c r="I72" s="6" t="n"/>
      <c r="K72" s="6" t="n"/>
    </row>
    <row r="73">
      <c r="F73" s="5" t="n"/>
      <c r="H73" s="6" t="n"/>
      <c r="I73" s="6" t="n"/>
      <c r="K73" s="6" t="n"/>
    </row>
    <row r="74">
      <c r="F74" s="5" t="n"/>
      <c r="H74" s="6" t="n"/>
      <c r="I74" s="6" t="n"/>
      <c r="K74" s="6" t="n"/>
    </row>
    <row r="75">
      <c r="F75" s="5" t="n"/>
      <c r="H75" s="6" t="n"/>
      <c r="I75" s="6" t="n"/>
      <c r="K75" s="6" t="n"/>
    </row>
    <row r="76">
      <c r="F76" s="5" t="n"/>
      <c r="H76" s="6" t="n"/>
      <c r="I76" s="6" t="n"/>
      <c r="K76" s="6" t="n"/>
    </row>
    <row r="77">
      <c r="F77" s="5" t="n"/>
      <c r="H77" s="6" t="n"/>
      <c r="I77" s="6" t="n"/>
      <c r="K77" s="6" t="n"/>
    </row>
    <row r="78">
      <c r="F78" s="5" t="n"/>
      <c r="H78" s="6" t="n"/>
      <c r="I78" s="6" t="n"/>
      <c r="K78" s="6" t="n"/>
    </row>
    <row r="79">
      <c r="F79" s="5" t="n"/>
      <c r="H79" s="6" t="n"/>
      <c r="I79" s="6" t="n"/>
      <c r="K79" s="6" t="n"/>
    </row>
    <row r="80">
      <c r="F80" s="5" t="n"/>
      <c r="H80" s="6" t="n"/>
      <c r="I80" s="6" t="n"/>
      <c r="K80" s="6" t="n"/>
    </row>
    <row r="81">
      <c r="F81" s="5" t="n"/>
      <c r="H81" s="6" t="n"/>
      <c r="I81" s="6" t="n"/>
      <c r="K81" s="6" t="n"/>
    </row>
    <row r="82">
      <c r="F82" s="5" t="n"/>
      <c r="H82" s="6" t="n"/>
      <c r="I82" s="6" t="n"/>
      <c r="K82" s="6" t="n"/>
    </row>
    <row r="83">
      <c r="F83" s="5" t="n"/>
      <c r="H83" s="6" t="n"/>
      <c r="I83" s="6" t="n"/>
      <c r="K83" s="6" t="n"/>
    </row>
    <row r="84">
      <c r="F84" s="5" t="n"/>
      <c r="H84" s="6" t="n"/>
      <c r="I84" s="6" t="n"/>
      <c r="K84" s="6" t="n"/>
    </row>
    <row r="85">
      <c r="F85" s="5" t="n"/>
      <c r="H85" s="6" t="n"/>
      <c r="I85" s="6" t="n"/>
      <c r="K85" s="6" t="n"/>
    </row>
    <row r="86">
      <c r="F86" s="5" t="n"/>
      <c r="H86" s="6" t="n"/>
      <c r="I86" s="6" t="n"/>
      <c r="K86" s="6" t="n"/>
    </row>
    <row r="87">
      <c r="F87" s="5" t="n"/>
      <c r="H87" s="6" t="n"/>
      <c r="I87" s="6" t="n"/>
      <c r="K87" s="6" t="n"/>
    </row>
    <row r="88">
      <c r="F88" s="5" t="n"/>
      <c r="H88" s="6" t="n"/>
      <c r="I88" s="6" t="n"/>
      <c r="K88" s="6" t="n"/>
    </row>
    <row r="89">
      <c r="F89" s="5" t="n"/>
      <c r="H89" s="6" t="n"/>
      <c r="I89" s="6" t="n"/>
      <c r="K89" s="6" t="n"/>
    </row>
    <row r="90">
      <c r="F90" s="5" t="n"/>
      <c r="H90" s="6" t="n"/>
      <c r="I90" s="6" t="n"/>
      <c r="K90" s="6" t="n"/>
    </row>
    <row r="91">
      <c r="F91" s="5" t="n"/>
      <c r="H91" s="6" t="n"/>
      <c r="I91" s="6" t="n"/>
      <c r="K91" s="6" t="n"/>
    </row>
    <row r="92">
      <c r="F92" s="5" t="n"/>
      <c r="H92" s="6" t="n"/>
      <c r="I92" s="6" t="n"/>
      <c r="K92" s="6" t="n"/>
    </row>
    <row r="93">
      <c r="F93" s="5" t="n"/>
      <c r="H93" s="6" t="n"/>
      <c r="I93" s="6" t="n"/>
      <c r="K93" s="6" t="n"/>
    </row>
    <row r="94">
      <c r="F94" s="5" t="n"/>
      <c r="H94" s="6" t="n"/>
      <c r="I94" s="6" t="n"/>
      <c r="K94" s="6" t="n"/>
    </row>
    <row r="95">
      <c r="F95" s="5" t="n"/>
      <c r="H95" s="6" t="n"/>
      <c r="I95" s="6" t="n"/>
      <c r="K95" s="6" t="n"/>
    </row>
    <row r="96">
      <c r="F96" s="5" t="n"/>
      <c r="H96" s="6" t="n"/>
      <c r="I96" s="6" t="n"/>
      <c r="K96" s="6" t="n"/>
    </row>
    <row r="97">
      <c r="F97" s="5" t="n"/>
      <c r="H97" s="6" t="n"/>
      <c r="I97" s="6" t="n"/>
      <c r="K97" s="6" t="n"/>
    </row>
    <row r="98">
      <c r="F98" s="5" t="n"/>
      <c r="H98" s="6" t="n"/>
      <c r="I98" s="6" t="n"/>
      <c r="K98" s="6" t="n"/>
    </row>
    <row r="99">
      <c r="F99" s="5" t="n"/>
      <c r="H99" s="6" t="n"/>
      <c r="I99" s="6" t="n"/>
      <c r="K99" s="6" t="n"/>
    </row>
    <row r="100">
      <c r="F100" s="5" t="n"/>
      <c r="H100" s="6" t="n"/>
      <c r="I100" s="6" t="n"/>
      <c r="K100" s="6" t="n"/>
    </row>
    <row r="101">
      <c r="F101" s="5" t="n"/>
      <c r="H101" s="6" t="n"/>
      <c r="I101" s="6" t="n"/>
      <c r="K101" s="6" t="n"/>
    </row>
    <row r="102">
      <c r="F102" s="5" t="n"/>
      <c r="H102" s="6" t="n"/>
      <c r="I102" s="6" t="n"/>
      <c r="K102" s="6" t="n"/>
    </row>
    <row r="103">
      <c r="F103" s="5" t="n"/>
      <c r="H103" s="6" t="n"/>
      <c r="I103" s="6" t="n"/>
      <c r="K103" s="6" t="n"/>
    </row>
    <row r="104">
      <c r="F104" s="5" t="n"/>
      <c r="H104" s="6" t="n"/>
      <c r="I104" s="6" t="n"/>
      <c r="K104" s="6" t="n"/>
    </row>
    <row r="105">
      <c r="F105" s="5" t="n"/>
      <c r="H105" s="6" t="n"/>
      <c r="I105" s="6" t="n"/>
      <c r="K105" s="6" t="n"/>
    </row>
    <row r="106">
      <c r="F106" s="5" t="n"/>
      <c r="H106" s="6" t="n"/>
      <c r="I106" s="6" t="n"/>
      <c r="K106" s="6" t="n"/>
    </row>
    <row r="107">
      <c r="F107" s="5" t="n"/>
      <c r="H107" s="6" t="n"/>
      <c r="I107" s="6" t="n"/>
      <c r="K107" s="6" t="n"/>
    </row>
    <row r="108">
      <c r="F108" s="5" t="n"/>
      <c r="H108" s="6" t="n"/>
      <c r="I108" s="6" t="n"/>
      <c r="K108" s="6" t="n"/>
    </row>
    <row r="109">
      <c r="F109" s="5" t="n"/>
      <c r="H109" s="6" t="n"/>
      <c r="I109" s="6" t="n"/>
      <c r="K109" s="6" t="n"/>
    </row>
    <row r="110">
      <c r="F110" s="5" t="n"/>
      <c r="H110" s="6" t="n"/>
      <c r="I110" s="6" t="n"/>
      <c r="K110" s="6" t="n"/>
    </row>
    <row r="111">
      <c r="F111" s="5" t="n"/>
      <c r="H111" s="6" t="n"/>
      <c r="I111" s="6" t="n"/>
      <c r="K111" s="6" t="n"/>
    </row>
    <row r="112">
      <c r="F112" s="5" t="n"/>
      <c r="H112" s="6" t="n"/>
      <c r="I112" s="6" t="n"/>
      <c r="K112" s="6" t="n"/>
    </row>
    <row r="113">
      <c r="F113" s="5" t="n"/>
      <c r="H113" s="6" t="n"/>
      <c r="I113" s="6" t="n"/>
      <c r="K113" s="6" t="n"/>
    </row>
    <row r="114">
      <c r="F114" s="5" t="n"/>
      <c r="H114" s="6" t="n"/>
      <c r="I114" s="6" t="n"/>
      <c r="K114" s="6" t="n"/>
    </row>
    <row r="115">
      <c r="F115" s="5" t="n"/>
      <c r="H115" s="6" t="n"/>
      <c r="I115" s="6" t="n"/>
      <c r="K115" s="6" t="n"/>
    </row>
    <row r="116">
      <c r="F116" s="5" t="n"/>
      <c r="H116" s="6" t="n"/>
      <c r="I116" s="6" t="n"/>
      <c r="K116" s="6" t="n"/>
    </row>
    <row r="117">
      <c r="F117" s="5" t="n"/>
      <c r="H117" s="6" t="n"/>
      <c r="I117" s="6" t="n"/>
      <c r="K117" s="6" t="n"/>
    </row>
    <row r="118">
      <c r="F118" s="5" t="n"/>
      <c r="H118" s="6" t="n"/>
      <c r="I118" s="6" t="n"/>
      <c r="K118" s="6" t="n"/>
    </row>
    <row r="119">
      <c r="F119" s="5" t="n"/>
      <c r="H119" s="6" t="n"/>
      <c r="I119" s="6" t="n"/>
      <c r="K119" s="6" t="n"/>
    </row>
    <row r="120">
      <c r="F120" s="5" t="n"/>
      <c r="H120" s="6" t="n"/>
      <c r="I120" s="6" t="n"/>
      <c r="K120" s="6" t="n"/>
    </row>
    <row r="121">
      <c r="F121" s="5" t="n"/>
      <c r="H121" s="6" t="n"/>
      <c r="I121" s="6" t="n"/>
      <c r="K121" s="6" t="n"/>
    </row>
    <row r="122">
      <c r="F122" s="5" t="n"/>
      <c r="H122" s="6" t="n"/>
      <c r="I122" s="6" t="n"/>
      <c r="K122" s="6" t="n"/>
    </row>
    <row r="123">
      <c r="F123" s="5" t="n"/>
      <c r="H123" s="6" t="n"/>
      <c r="I123" s="6" t="n"/>
      <c r="K123" s="6" t="n"/>
    </row>
    <row r="124">
      <c r="F124" s="5" t="n"/>
      <c r="H124" s="6" t="n"/>
      <c r="I124" s="6" t="n"/>
      <c r="K124" s="6" t="n"/>
    </row>
    <row r="125">
      <c r="F125" s="5" t="n"/>
      <c r="H125" s="6" t="n"/>
      <c r="I125" s="6" t="n"/>
      <c r="K125" s="6" t="n"/>
    </row>
    <row r="126">
      <c r="F126" s="5" t="n"/>
      <c r="H126" s="6" t="n"/>
      <c r="I126" s="6" t="n"/>
      <c r="K126" s="6" t="n"/>
    </row>
    <row r="127">
      <c r="F127" s="5" t="n"/>
      <c r="H127" s="6" t="n"/>
      <c r="I127" s="6" t="n"/>
      <c r="K127" s="6" t="n"/>
    </row>
    <row r="128">
      <c r="F128" s="5" t="n"/>
      <c r="H128" s="6" t="n"/>
      <c r="I128" s="6" t="n"/>
      <c r="K128" s="6" t="n"/>
    </row>
    <row r="129">
      <c r="F129" s="5" t="n"/>
      <c r="H129" s="6" t="n"/>
      <c r="I129" s="6" t="n"/>
      <c r="K129" s="6" t="n"/>
    </row>
    <row r="130">
      <c r="F130" s="5" t="n"/>
      <c r="H130" s="6" t="n"/>
      <c r="I130" s="6" t="n"/>
      <c r="K130" s="6" t="n"/>
    </row>
    <row r="131">
      <c r="F131" s="5" t="n"/>
      <c r="H131" s="6" t="n"/>
      <c r="I131" s="6" t="n"/>
      <c r="K131" s="6" t="n"/>
    </row>
    <row r="132">
      <c r="F132" s="5" t="n"/>
      <c r="H132" s="6" t="n"/>
      <c r="I132" s="6" t="n"/>
      <c r="K132" s="6" t="n"/>
    </row>
    <row r="133">
      <c r="F133" s="5" t="n"/>
      <c r="H133" s="6" t="n"/>
      <c r="I133" s="6" t="n"/>
      <c r="K133" s="6" t="n"/>
    </row>
    <row r="134">
      <c r="F134" s="5" t="n"/>
      <c r="H134" s="6" t="n"/>
      <c r="I134" s="6" t="n"/>
      <c r="K134" s="6" t="n"/>
    </row>
    <row r="135">
      <c r="F135" s="5" t="n"/>
      <c r="H135" s="6" t="n"/>
      <c r="I135" s="6" t="n"/>
      <c r="K135" s="6" t="n"/>
    </row>
    <row r="136">
      <c r="F136" s="5" t="n"/>
      <c r="H136" s="6" t="n"/>
      <c r="I136" s="6" t="n"/>
      <c r="K136" s="6" t="n"/>
    </row>
    <row r="137">
      <c r="F137" s="5" t="n"/>
      <c r="H137" s="6" t="n"/>
      <c r="I137" s="6" t="n"/>
      <c r="K137" s="6" t="n"/>
    </row>
    <row r="138">
      <c r="F138" s="5" t="n"/>
      <c r="H138" s="6" t="n"/>
      <c r="I138" s="6" t="n"/>
      <c r="K138" s="6" t="n"/>
    </row>
    <row r="139">
      <c r="F139" s="5" t="n"/>
      <c r="H139" s="6" t="n"/>
      <c r="I139" s="6" t="n"/>
      <c r="K139" s="6" t="n"/>
    </row>
    <row r="140">
      <c r="F140" s="5" t="n"/>
      <c r="H140" s="6" t="n"/>
      <c r="I140" s="6" t="n"/>
      <c r="K140" s="6" t="n"/>
    </row>
    <row r="141">
      <c r="F141" s="5" t="n"/>
      <c r="H141" s="6" t="n"/>
      <c r="I141" s="6" t="n"/>
      <c r="K141" s="6" t="n"/>
    </row>
    <row r="142">
      <c r="F142" s="5" t="n"/>
      <c r="H142" s="6" t="n"/>
      <c r="I142" s="6" t="n"/>
      <c r="K142" s="6" t="n"/>
    </row>
    <row r="143">
      <c r="F143" s="5" t="n"/>
      <c r="H143" s="6" t="n"/>
      <c r="I143" s="6" t="n"/>
      <c r="K143" s="6" t="n"/>
    </row>
    <row r="144">
      <c r="F144" s="5" t="n"/>
      <c r="H144" s="6" t="n"/>
      <c r="I144" s="6" t="n"/>
      <c r="K144" s="6" t="n"/>
    </row>
    <row r="145">
      <c r="F145" s="5" t="n"/>
      <c r="H145" s="6" t="n"/>
      <c r="I145" s="6" t="n"/>
      <c r="K145" s="6" t="n"/>
    </row>
    <row r="146">
      <c r="F146" s="5" t="n"/>
      <c r="H146" s="6" t="n"/>
      <c r="I146" s="6" t="n"/>
      <c r="K146" s="6" t="n"/>
    </row>
    <row r="147">
      <c r="F147" s="5" t="n"/>
      <c r="H147" s="6" t="n"/>
      <c r="I147" s="6" t="n"/>
      <c r="K147" s="6" t="n"/>
    </row>
    <row r="148">
      <c r="F148" s="5" t="n"/>
      <c r="H148" s="6" t="n"/>
      <c r="I148" s="6" t="n"/>
      <c r="K148" s="6" t="n"/>
    </row>
    <row r="149">
      <c r="F149" s="5" t="n"/>
      <c r="H149" s="6" t="n"/>
      <c r="I149" s="6" t="n"/>
      <c r="K149" s="6" t="n"/>
    </row>
    <row r="150">
      <c r="F150" s="5" t="n"/>
      <c r="H150" s="6" t="n"/>
      <c r="I150" s="6" t="n"/>
      <c r="K150" s="6" t="n"/>
    </row>
    <row r="151">
      <c r="F151" s="5" t="n"/>
      <c r="H151" s="6" t="n"/>
      <c r="I151" s="6" t="n"/>
      <c r="K151" s="6" t="n"/>
    </row>
    <row r="152">
      <c r="F152" s="5" t="n"/>
      <c r="H152" s="6" t="n"/>
      <c r="I152" s="6" t="n"/>
      <c r="K152" s="6" t="n"/>
    </row>
    <row r="153">
      <c r="F153" s="5" t="n"/>
      <c r="H153" s="6" t="n"/>
      <c r="I153" s="6" t="n"/>
      <c r="K153" s="6" t="n"/>
    </row>
    <row r="154">
      <c r="F154" s="5" t="n"/>
      <c r="H154" s="6" t="n"/>
      <c r="I154" s="6" t="n"/>
      <c r="K154" s="6" t="n"/>
    </row>
    <row r="155">
      <c r="F155" s="5" t="n"/>
      <c r="H155" s="6" t="n"/>
      <c r="I155" s="6" t="n"/>
      <c r="K155" s="6" t="n"/>
    </row>
    <row r="156">
      <c r="F156" s="5" t="n"/>
      <c r="H156" s="6" t="n"/>
      <c r="I156" s="6" t="n"/>
      <c r="K156" s="6" t="n"/>
    </row>
    <row r="157">
      <c r="F157" s="5" t="n"/>
      <c r="H157" s="6" t="n"/>
      <c r="I157" s="6" t="n"/>
      <c r="K157" s="6" t="n"/>
    </row>
    <row r="158">
      <c r="F158" s="5" t="n"/>
      <c r="H158" s="6" t="n"/>
      <c r="I158" s="6" t="n"/>
      <c r="K158" s="6" t="n"/>
    </row>
    <row r="159">
      <c r="F159" s="5" t="n"/>
      <c r="H159" s="6" t="n"/>
      <c r="I159" s="6" t="n"/>
      <c r="K159" s="6" t="n"/>
    </row>
    <row r="160">
      <c r="F160" s="5" t="n"/>
      <c r="H160" s="6" t="n"/>
      <c r="I160" s="6" t="n"/>
      <c r="K160" s="6" t="n"/>
    </row>
    <row r="161">
      <c r="F161" s="5" t="n"/>
      <c r="H161" s="6" t="n"/>
      <c r="I161" s="6" t="n"/>
      <c r="K161" s="6" t="n"/>
    </row>
    <row r="162">
      <c r="F162" s="5" t="n"/>
      <c r="H162" s="6" t="n"/>
      <c r="I162" s="6" t="n"/>
      <c r="K162" s="6" t="n"/>
    </row>
    <row r="163">
      <c r="F163" s="5" t="n"/>
      <c r="H163" s="6" t="n"/>
      <c r="I163" s="6" t="n"/>
      <c r="K163" s="6" t="n"/>
    </row>
    <row r="164">
      <c r="F164" s="5" t="n"/>
      <c r="H164" s="6" t="n"/>
      <c r="I164" s="6" t="n"/>
      <c r="K164" s="6" t="n"/>
    </row>
    <row r="165">
      <c r="F165" s="5" t="n"/>
      <c r="H165" s="6" t="n"/>
      <c r="I165" s="6" t="n"/>
      <c r="K165" s="6" t="n"/>
    </row>
    <row r="166">
      <c r="F166" s="5" t="n"/>
      <c r="H166" s="6" t="n"/>
      <c r="I166" s="6" t="n"/>
      <c r="K166" s="6" t="n"/>
    </row>
    <row r="167">
      <c r="F167" s="5" t="n"/>
      <c r="H167" s="6" t="n"/>
      <c r="I167" s="6" t="n"/>
      <c r="K167" s="6" t="n"/>
    </row>
    <row r="168">
      <c r="F168" s="5" t="n"/>
      <c r="H168" s="6" t="n"/>
      <c r="I168" s="6" t="n"/>
      <c r="K168" s="6" t="n"/>
    </row>
    <row r="169">
      <c r="F169" s="5" t="n"/>
      <c r="H169" s="6" t="n"/>
      <c r="I169" s="6" t="n"/>
      <c r="K169" s="6" t="n"/>
    </row>
    <row r="170">
      <c r="F170" s="5" t="n"/>
      <c r="H170" s="6" t="n"/>
      <c r="I170" s="6" t="n"/>
      <c r="K170" s="6" t="n"/>
    </row>
    <row r="171">
      <c r="F171" s="5" t="n"/>
      <c r="H171" s="6" t="n"/>
      <c r="I171" s="6" t="n"/>
      <c r="K171" s="6" t="n"/>
    </row>
    <row r="172">
      <c r="F172" s="5" t="n"/>
      <c r="H172" s="6" t="n"/>
      <c r="I172" s="6" t="n"/>
      <c r="K172" s="6" t="n"/>
    </row>
    <row r="173">
      <c r="F173" s="5" t="n"/>
      <c r="H173" s="6" t="n"/>
      <c r="I173" s="6" t="n"/>
      <c r="K173" s="6" t="n"/>
    </row>
    <row r="174">
      <c r="F174" s="5" t="n"/>
      <c r="H174" s="6" t="n"/>
      <c r="I174" s="6" t="n"/>
      <c r="K174" s="6" t="n"/>
    </row>
    <row r="175">
      <c r="F175" s="5" t="n"/>
      <c r="H175" s="6" t="n"/>
      <c r="I175" s="6" t="n"/>
      <c r="K175" s="6" t="n"/>
    </row>
    <row r="176">
      <c r="F176" s="5" t="n"/>
      <c r="H176" s="6" t="n"/>
      <c r="I176" s="6" t="n"/>
      <c r="K176" s="6" t="n"/>
    </row>
    <row r="177">
      <c r="F177" s="5" t="n"/>
      <c r="H177" s="6" t="n"/>
      <c r="I177" s="6" t="n"/>
      <c r="K177" s="6" t="n"/>
    </row>
    <row r="178">
      <c r="F178" s="5" t="n"/>
      <c r="H178" s="6" t="n"/>
      <c r="I178" s="6" t="n"/>
      <c r="K178" s="6" t="n"/>
    </row>
    <row r="179">
      <c r="F179" s="5" t="n"/>
      <c r="H179" s="6" t="n"/>
      <c r="I179" s="6" t="n"/>
      <c r="K179" s="6" t="n"/>
    </row>
    <row r="180">
      <c r="F180" s="5" t="n"/>
      <c r="H180" s="6" t="n"/>
      <c r="I180" s="6" t="n"/>
      <c r="K180" s="6" t="n"/>
    </row>
    <row r="181">
      <c r="F181" s="5" t="n"/>
      <c r="H181" s="6" t="n"/>
      <c r="I181" s="6" t="n"/>
      <c r="K181" s="6" t="n"/>
    </row>
    <row r="182">
      <c r="F182" s="5" t="n"/>
      <c r="H182" s="6" t="n"/>
      <c r="I182" s="6" t="n"/>
      <c r="K182" s="6" t="n"/>
    </row>
    <row r="183">
      <c r="F183" s="5" t="n"/>
      <c r="H183" s="6" t="n"/>
      <c r="I183" s="6" t="n"/>
      <c r="K183" s="6" t="n"/>
    </row>
    <row r="184">
      <c r="F184" s="5" t="n"/>
      <c r="H184" s="6" t="n"/>
      <c r="I184" s="6" t="n"/>
      <c r="K184" s="6" t="n"/>
    </row>
    <row r="185">
      <c r="F185" s="5" t="n"/>
      <c r="H185" s="6" t="n"/>
      <c r="I185" s="6" t="n"/>
      <c r="K185" s="6" t="n"/>
    </row>
    <row r="186">
      <c r="F186" s="5" t="n"/>
      <c r="H186" s="6" t="n"/>
      <c r="I186" s="6" t="n"/>
      <c r="K186" s="6" t="n"/>
    </row>
    <row r="187">
      <c r="F187" s="5" t="n"/>
      <c r="H187" s="6" t="n"/>
      <c r="I187" s="6" t="n"/>
      <c r="K187" s="6" t="n"/>
    </row>
    <row r="188">
      <c r="F188" s="5" t="n"/>
      <c r="H188" s="6" t="n"/>
      <c r="I188" s="6" t="n"/>
      <c r="K188" s="6" t="n"/>
    </row>
    <row r="189">
      <c r="F189" s="5" t="n"/>
      <c r="H189" s="6" t="n"/>
      <c r="I189" s="6" t="n"/>
      <c r="K189" s="6" t="n"/>
    </row>
    <row r="190">
      <c r="F190" s="5" t="n"/>
      <c r="H190" s="6" t="n"/>
      <c r="I190" s="6" t="n"/>
      <c r="K190" s="6" t="n"/>
    </row>
    <row r="191">
      <c r="F191" s="5" t="n"/>
      <c r="H191" s="6" t="n"/>
      <c r="I191" s="6" t="n"/>
      <c r="K191" s="6" t="n"/>
    </row>
    <row r="192">
      <c r="F192" s="5" t="n"/>
      <c r="H192" s="6" t="n"/>
      <c r="I192" s="6" t="n"/>
      <c r="K192" s="6" t="n"/>
    </row>
    <row r="193">
      <c r="F193" s="5" t="n"/>
      <c r="H193" s="6" t="n"/>
      <c r="I193" s="6" t="n"/>
      <c r="K193" s="6" t="n"/>
    </row>
    <row r="194">
      <c r="F194" s="5" t="n"/>
      <c r="H194" s="6" t="n"/>
      <c r="I194" s="6" t="n"/>
      <c r="K194" s="6" t="n"/>
    </row>
    <row r="195">
      <c r="F195" s="5" t="n"/>
      <c r="H195" s="6" t="n"/>
      <c r="I195" s="6" t="n"/>
      <c r="K195" s="6" t="n"/>
    </row>
    <row r="196">
      <c r="F196" s="5" t="n"/>
      <c r="H196" s="6" t="n"/>
      <c r="I196" s="6" t="n"/>
      <c r="K196" s="6" t="n"/>
    </row>
    <row r="197">
      <c r="F197" s="5" t="n"/>
      <c r="H197" s="6" t="n"/>
      <c r="I197" s="6" t="n"/>
      <c r="K197" s="6" t="n"/>
    </row>
    <row r="198">
      <c r="F198" s="5" t="n"/>
      <c r="H198" s="6" t="n"/>
      <c r="I198" s="6" t="n"/>
      <c r="K198" s="6" t="n"/>
    </row>
    <row r="199">
      <c r="F199" s="5" t="n"/>
      <c r="H199" s="6" t="n"/>
      <c r="I199" s="6" t="n"/>
      <c r="K199" s="6" t="n"/>
    </row>
    <row r="200">
      <c r="F200" s="5" t="n"/>
      <c r="H200" s="6" t="n"/>
      <c r="I200" s="6" t="n"/>
      <c r="K200" s="6" t="n"/>
    </row>
    <row r="201">
      <c r="F201" s="5" t="n"/>
      <c r="H201" s="6" t="n"/>
      <c r="I201" s="6" t="n"/>
      <c r="K201" s="6" t="n"/>
    </row>
    <row r="202">
      <c r="F202" s="5" t="n"/>
      <c r="H202" s="6" t="n"/>
      <c r="I202" s="6" t="n"/>
      <c r="K202" s="6" t="n"/>
    </row>
    <row r="203">
      <c r="F203" s="5" t="n"/>
      <c r="H203" s="6" t="n"/>
      <c r="I203" s="6" t="n"/>
      <c r="K203" s="6" t="n"/>
    </row>
    <row r="204">
      <c r="F204" s="5" t="n"/>
      <c r="H204" s="6" t="n"/>
      <c r="I204" s="6" t="n"/>
      <c r="K204" s="6" t="n"/>
    </row>
    <row r="205">
      <c r="F205" s="5" t="n"/>
      <c r="H205" s="6" t="n"/>
      <c r="I205" s="6" t="n"/>
      <c r="K205" s="6" t="n"/>
    </row>
    <row r="206">
      <c r="F206" s="5" t="n"/>
      <c r="H206" s="6" t="n"/>
      <c r="I206" s="6" t="n"/>
      <c r="K206" s="6" t="n"/>
    </row>
    <row r="207">
      <c r="F207" s="5" t="n"/>
      <c r="H207" s="6" t="n"/>
      <c r="I207" s="6" t="n"/>
      <c r="K207" s="6" t="n"/>
    </row>
    <row r="208">
      <c r="F208" s="5" t="n"/>
      <c r="H208" s="6" t="n"/>
      <c r="I208" s="6" t="n"/>
      <c r="K208" s="6" t="n"/>
    </row>
    <row r="209">
      <c r="F209" s="5" t="n"/>
      <c r="H209" s="6" t="n"/>
      <c r="I209" s="6" t="n"/>
      <c r="K209" s="6" t="n"/>
    </row>
    <row r="210">
      <c r="F210" s="5" t="n"/>
      <c r="H210" s="6" t="n"/>
      <c r="I210" s="6" t="n"/>
      <c r="K210" s="6" t="n"/>
    </row>
    <row r="211">
      <c r="F211" s="5" t="n"/>
      <c r="H211" s="6" t="n"/>
      <c r="I211" s="6" t="n"/>
      <c r="K211" s="6" t="n"/>
    </row>
    <row r="212">
      <c r="F212" s="5" t="n"/>
      <c r="H212" s="6" t="n"/>
      <c r="I212" s="6" t="n"/>
      <c r="K212" s="6" t="n"/>
    </row>
    <row r="213">
      <c r="F213" s="5" t="n"/>
      <c r="H213" s="6" t="n"/>
      <c r="I213" s="6" t="n"/>
      <c r="K213" s="6" t="n"/>
    </row>
    <row r="214">
      <c r="F214" s="5" t="n"/>
      <c r="H214" s="6" t="n"/>
      <c r="I214" s="6" t="n"/>
      <c r="K214" s="6" t="n"/>
    </row>
    <row r="215">
      <c r="F215" s="5" t="n"/>
      <c r="H215" s="6" t="n"/>
      <c r="I215" s="6" t="n"/>
      <c r="K215" s="6" t="n"/>
    </row>
    <row r="216">
      <c r="F216" s="5" t="n"/>
      <c r="H216" s="6" t="n"/>
      <c r="I216" s="6" t="n"/>
      <c r="K216" s="6" t="n"/>
    </row>
    <row r="217">
      <c r="F217" s="5" t="n"/>
      <c r="H217" s="6" t="n"/>
      <c r="I217" s="6" t="n"/>
      <c r="K217" s="6" t="n"/>
    </row>
    <row r="218">
      <c r="F218" s="5" t="n"/>
      <c r="H218" s="6" t="n"/>
      <c r="I218" s="6" t="n"/>
      <c r="K218" s="6" t="n"/>
    </row>
    <row r="219">
      <c r="F219" s="5" t="n"/>
      <c r="H219" s="6" t="n"/>
      <c r="I219" s="6" t="n"/>
      <c r="K219" s="6" t="n"/>
    </row>
    <row r="220">
      <c r="F220" s="5" t="n"/>
      <c r="H220" s="6" t="n"/>
      <c r="I220" s="6" t="n"/>
      <c r="K220" s="6" t="n"/>
    </row>
    <row r="221">
      <c r="F221" s="5" t="n"/>
      <c r="H221" s="6" t="n"/>
      <c r="I221" s="6" t="n"/>
      <c r="K221" s="6" t="n"/>
    </row>
    <row r="222">
      <c r="F222" s="5" t="n"/>
      <c r="H222" s="6" t="n"/>
      <c r="I222" s="6" t="n"/>
      <c r="K222" s="6" t="n"/>
    </row>
    <row r="223">
      <c r="F223" s="5" t="n"/>
      <c r="H223" s="6" t="n"/>
      <c r="I223" s="6" t="n"/>
      <c r="K223" s="6" t="n"/>
    </row>
    <row r="224">
      <c r="F224" s="5" t="n"/>
      <c r="H224" s="6" t="n"/>
      <c r="I224" s="6" t="n"/>
      <c r="K224" s="6" t="n"/>
    </row>
    <row r="225">
      <c r="F225" s="5" t="n"/>
      <c r="H225" s="6" t="n"/>
      <c r="I225" s="6" t="n"/>
      <c r="K225" s="6" t="n"/>
    </row>
    <row r="226">
      <c r="F226" s="5" t="n"/>
      <c r="H226" s="6" t="n"/>
      <c r="I226" s="6" t="n"/>
      <c r="K226" s="6" t="n"/>
    </row>
    <row r="227">
      <c r="F227" s="5" t="n"/>
      <c r="H227" s="6" t="n"/>
      <c r="I227" s="6" t="n"/>
      <c r="K227" s="6" t="n"/>
    </row>
    <row r="228">
      <c r="F228" s="5" t="n"/>
      <c r="H228" s="6" t="n"/>
      <c r="I228" s="6" t="n"/>
      <c r="K228" s="6" t="n"/>
    </row>
    <row r="229">
      <c r="F229" s="5" t="n"/>
      <c r="H229" s="6" t="n"/>
      <c r="I229" s="6" t="n"/>
      <c r="K229" s="6" t="n"/>
    </row>
    <row r="230">
      <c r="F230" s="5" t="n"/>
      <c r="H230" s="6" t="n"/>
      <c r="I230" s="6" t="n"/>
      <c r="K230" s="6" t="n"/>
    </row>
    <row r="231">
      <c r="F231" s="5" t="n"/>
      <c r="H231" s="6" t="n"/>
      <c r="I231" s="6" t="n"/>
      <c r="K231" s="6" t="n"/>
    </row>
    <row r="232">
      <c r="F232" s="5" t="n"/>
      <c r="H232" s="6" t="n"/>
      <c r="I232" s="6" t="n"/>
      <c r="K232" s="6" t="n"/>
    </row>
    <row r="233">
      <c r="F233" s="5" t="n"/>
      <c r="H233" s="6" t="n"/>
      <c r="I233" s="6" t="n"/>
      <c r="K233" s="6" t="n"/>
    </row>
    <row r="234">
      <c r="F234" s="5" t="n"/>
      <c r="H234" s="6" t="n"/>
      <c r="I234" s="6" t="n"/>
      <c r="K234" s="6" t="n"/>
    </row>
    <row r="235">
      <c r="F235" s="5" t="n"/>
      <c r="H235" s="6" t="n"/>
      <c r="I235" s="6" t="n"/>
      <c r="K235" s="6" t="n"/>
    </row>
    <row r="236">
      <c r="F236" s="5" t="n"/>
      <c r="H236" s="6" t="n"/>
      <c r="I236" s="6" t="n"/>
      <c r="K236" s="6" t="n"/>
    </row>
    <row r="237">
      <c r="F237" s="5" t="n"/>
      <c r="H237" s="6" t="n"/>
      <c r="I237" s="6" t="n"/>
      <c r="K237" s="6" t="n"/>
    </row>
    <row r="238">
      <c r="F238" s="5" t="n"/>
      <c r="H238" s="6" t="n"/>
      <c r="I238" s="6" t="n"/>
      <c r="K238" s="6" t="n"/>
    </row>
    <row r="239">
      <c r="F239" s="5" t="n"/>
      <c r="H239" s="6" t="n"/>
      <c r="I239" s="6" t="n"/>
      <c r="K239" s="6" t="n"/>
    </row>
    <row r="240">
      <c r="F240" s="5" t="n"/>
      <c r="H240" s="6" t="n"/>
      <c r="I240" s="6" t="n"/>
      <c r="K240" s="6" t="n"/>
    </row>
    <row r="241">
      <c r="F241" s="5" t="n"/>
      <c r="H241" s="6" t="n"/>
      <c r="I241" s="6" t="n"/>
      <c r="K241" s="6" t="n"/>
    </row>
    <row r="242">
      <c r="F242" s="5" t="n"/>
      <c r="H242" s="6" t="n"/>
      <c r="I242" s="6" t="n"/>
      <c r="K242" s="6" t="n"/>
    </row>
    <row r="243">
      <c r="F243" s="5" t="n"/>
      <c r="H243" s="6" t="n"/>
      <c r="I243" s="6" t="n"/>
      <c r="K243" s="6" t="n"/>
    </row>
    <row r="244">
      <c r="F244" s="5" t="n"/>
      <c r="H244" s="6" t="n"/>
      <c r="I244" s="6" t="n"/>
      <c r="K244" s="6" t="n"/>
    </row>
    <row r="245">
      <c r="F245" s="5" t="n"/>
      <c r="H245" s="6" t="n"/>
      <c r="I245" s="6" t="n"/>
      <c r="K245" s="6" t="n"/>
    </row>
    <row r="246">
      <c r="F246" s="5" t="n"/>
      <c r="H246" s="6" t="n"/>
      <c r="I246" s="6" t="n"/>
      <c r="K246" s="6" t="n"/>
    </row>
    <row r="247">
      <c r="F247" s="5" t="n"/>
      <c r="H247" s="6" t="n"/>
      <c r="I247" s="6" t="n"/>
      <c r="K247" s="6" t="n"/>
    </row>
    <row r="248">
      <c r="F248" s="5" t="n"/>
      <c r="H248" s="6" t="n"/>
      <c r="I248" s="6" t="n"/>
      <c r="K248" s="6" t="n"/>
    </row>
    <row r="249">
      <c r="F249" s="5" t="n"/>
      <c r="H249" s="6" t="n"/>
      <c r="I249" s="6" t="n"/>
      <c r="K249" s="6" t="n"/>
    </row>
    <row r="250">
      <c r="F250" s="5" t="n"/>
      <c r="H250" s="6" t="n"/>
      <c r="I250" s="6" t="n"/>
      <c r="K250" s="6" t="n"/>
    </row>
    <row r="251">
      <c r="F251" s="5" t="n"/>
      <c r="H251" s="6" t="n"/>
      <c r="I251" s="6" t="n"/>
      <c r="K251" s="6" t="n"/>
    </row>
    <row r="252">
      <c r="F252" s="5" t="n"/>
      <c r="H252" s="6" t="n"/>
      <c r="I252" s="6" t="n"/>
      <c r="K252" s="6" t="n"/>
    </row>
    <row r="253">
      <c r="F253" s="5" t="n"/>
      <c r="H253" s="6" t="n"/>
      <c r="I253" s="6" t="n"/>
      <c r="K253" s="6" t="n"/>
    </row>
    <row r="254">
      <c r="F254" s="5" t="n"/>
      <c r="H254" s="6" t="n"/>
      <c r="I254" s="6" t="n"/>
      <c r="K254" s="6" t="n"/>
    </row>
    <row r="255">
      <c r="F255" s="5" t="n"/>
      <c r="H255" s="6" t="n"/>
      <c r="I255" s="6" t="n"/>
      <c r="K255" s="6" t="n"/>
    </row>
    <row r="256">
      <c r="F256" s="5" t="n"/>
      <c r="H256" s="6" t="n"/>
      <c r="I256" s="6" t="n"/>
      <c r="K256" s="6" t="n"/>
    </row>
    <row r="257">
      <c r="F257" s="5" t="n"/>
      <c r="H257" s="6" t="n"/>
      <c r="I257" s="6" t="n"/>
      <c r="K257" s="6" t="n"/>
    </row>
    <row r="258">
      <c r="F258" s="5" t="n"/>
      <c r="H258" s="6" t="n"/>
      <c r="I258" s="6" t="n"/>
      <c r="K258" s="6" t="n"/>
    </row>
    <row r="259">
      <c r="F259" s="5" t="n"/>
      <c r="H259" s="6" t="n"/>
      <c r="I259" s="6" t="n"/>
      <c r="K259" s="6" t="n"/>
    </row>
    <row r="260">
      <c r="F260" s="5" t="n"/>
      <c r="H260" s="6" t="n"/>
      <c r="I260" s="6" t="n"/>
      <c r="K260" s="6" t="n"/>
    </row>
    <row r="261">
      <c r="F261" s="5" t="n"/>
      <c r="H261" s="6" t="n"/>
      <c r="I261" s="6" t="n"/>
      <c r="K261" s="6" t="n"/>
    </row>
    <row r="262">
      <c r="F262" s="5" t="n"/>
      <c r="H262" s="6" t="n"/>
      <c r="I262" s="6" t="n"/>
      <c r="K262" s="6" t="n"/>
    </row>
    <row r="263">
      <c r="F263" s="5" t="n"/>
      <c r="H263" s="6" t="n"/>
      <c r="I263" s="6" t="n"/>
      <c r="K263" s="6" t="n"/>
    </row>
    <row r="264">
      <c r="F264" s="5" t="n"/>
      <c r="H264" s="6" t="n"/>
      <c r="I264" s="6" t="n"/>
      <c r="K264" s="6" t="n"/>
    </row>
    <row r="265">
      <c r="F265" s="5" t="n"/>
      <c r="H265" s="6" t="n"/>
      <c r="I265" s="6" t="n"/>
      <c r="K265" s="6" t="n"/>
    </row>
    <row r="266">
      <c r="F266" s="5" t="n"/>
      <c r="H266" s="6" t="n"/>
      <c r="I266" s="6" t="n"/>
      <c r="K266" s="6" t="n"/>
    </row>
    <row r="267">
      <c r="F267" s="5" t="n"/>
      <c r="H267" s="6" t="n"/>
      <c r="I267" s="6" t="n"/>
      <c r="K267" s="6" t="n"/>
    </row>
    <row r="268">
      <c r="F268" s="5" t="n"/>
      <c r="H268" s="6" t="n"/>
      <c r="I268" s="6" t="n"/>
      <c r="K268" s="6" t="n"/>
    </row>
    <row r="269">
      <c r="F269" s="5" t="n"/>
      <c r="H269" s="6" t="n"/>
      <c r="I269" s="6" t="n"/>
      <c r="K269" s="6" t="n"/>
    </row>
    <row r="270">
      <c r="F270" s="5" t="n"/>
      <c r="H270" s="6" t="n"/>
      <c r="I270" s="6" t="n"/>
      <c r="K270" s="6" t="n"/>
    </row>
    <row r="271">
      <c r="F271" s="5" t="n"/>
      <c r="H271" s="6" t="n"/>
      <c r="I271" s="6" t="n"/>
      <c r="K271" s="6" t="n"/>
    </row>
    <row r="272">
      <c r="F272" s="5" t="n"/>
      <c r="H272" s="6" t="n"/>
      <c r="I272" s="6" t="n"/>
      <c r="K272" s="6" t="n"/>
    </row>
    <row r="273">
      <c r="F273" s="5" t="n"/>
      <c r="H273" s="6" t="n"/>
      <c r="I273" s="6" t="n"/>
      <c r="K273" s="6" t="n"/>
    </row>
    <row r="274">
      <c r="F274" s="5" t="n"/>
      <c r="H274" s="6" t="n"/>
      <c r="I274" s="6" t="n"/>
      <c r="K274" s="6" t="n"/>
    </row>
    <row r="275">
      <c r="F275" s="5" t="n"/>
      <c r="H275" s="6" t="n"/>
      <c r="I275" s="6" t="n"/>
      <c r="K275" s="6" t="n"/>
    </row>
    <row r="276">
      <c r="F276" s="5" t="n"/>
      <c r="H276" s="6" t="n"/>
      <c r="I276" s="6" t="n"/>
      <c r="K276" s="6" t="n"/>
    </row>
    <row r="277">
      <c r="F277" s="5" t="n"/>
      <c r="H277" s="6" t="n"/>
      <c r="I277" s="6" t="n"/>
      <c r="K277" s="6" t="n"/>
    </row>
    <row r="278">
      <c r="F278" s="5" t="n"/>
      <c r="H278" s="6" t="n"/>
      <c r="I278" s="6" t="n"/>
      <c r="K278" s="6" t="n"/>
    </row>
    <row r="279">
      <c r="F279" s="5" t="n"/>
      <c r="H279" s="6" t="n"/>
      <c r="I279" s="6" t="n"/>
      <c r="K279" s="6" t="n"/>
    </row>
    <row r="280">
      <c r="F280" s="5" t="n"/>
      <c r="H280" s="6" t="n"/>
      <c r="I280" s="6" t="n"/>
      <c r="K280" s="6" t="n"/>
    </row>
    <row r="281">
      <c r="F281" s="5" t="n"/>
      <c r="H281" s="6" t="n"/>
      <c r="I281" s="6" t="n"/>
      <c r="K281" s="6" t="n"/>
    </row>
    <row r="282">
      <c r="F282" s="5" t="n"/>
      <c r="H282" s="6" t="n"/>
      <c r="I282" s="6" t="n"/>
      <c r="K282" s="6" t="n"/>
    </row>
    <row r="283">
      <c r="F283" s="5" t="n"/>
      <c r="H283" s="6" t="n"/>
      <c r="I283" s="6" t="n"/>
      <c r="K283" s="6" t="n"/>
    </row>
    <row r="284">
      <c r="F284" s="5" t="n"/>
      <c r="H284" s="6" t="n"/>
      <c r="I284" s="6" t="n"/>
      <c r="K284" s="6" t="n"/>
    </row>
    <row r="285">
      <c r="F285" s="5" t="n"/>
      <c r="H285" s="6" t="n"/>
      <c r="I285" s="6" t="n"/>
      <c r="K285" s="6" t="n"/>
    </row>
    <row r="286">
      <c r="F286" s="5" t="n"/>
      <c r="H286" s="6" t="n"/>
      <c r="I286" s="6" t="n"/>
      <c r="K286" s="6" t="n"/>
    </row>
    <row r="287">
      <c r="F287" s="5" t="n"/>
      <c r="H287" s="6" t="n"/>
      <c r="I287" s="6" t="n"/>
      <c r="K287" s="6" t="n"/>
    </row>
    <row r="288">
      <c r="F288" s="5" t="n"/>
      <c r="H288" s="6" t="n"/>
      <c r="I288" s="6" t="n"/>
      <c r="K288" s="6" t="n"/>
    </row>
    <row r="289">
      <c r="F289" s="5" t="n"/>
      <c r="H289" s="6" t="n"/>
      <c r="I289" s="6" t="n"/>
      <c r="K289" s="6" t="n"/>
    </row>
    <row r="290">
      <c r="F290" s="5" t="n"/>
      <c r="H290" s="6" t="n"/>
      <c r="I290" s="6" t="n"/>
      <c r="K290" s="6" t="n"/>
    </row>
    <row r="291">
      <c r="F291" s="5" t="n"/>
      <c r="H291" s="6" t="n"/>
      <c r="I291" s="6" t="n"/>
      <c r="K291" s="6" t="n"/>
    </row>
    <row r="292">
      <c r="F292" s="5" t="n"/>
      <c r="H292" s="6" t="n"/>
      <c r="I292" s="6" t="n"/>
      <c r="K292" s="6" t="n"/>
    </row>
    <row r="293">
      <c r="F293" s="5" t="n"/>
      <c r="H293" s="6" t="n"/>
      <c r="I293" s="6" t="n"/>
      <c r="K293" s="6" t="n"/>
    </row>
    <row r="294">
      <c r="F294" s="5" t="n"/>
      <c r="H294" s="6" t="n"/>
      <c r="I294" s="6" t="n"/>
      <c r="K294" s="6" t="n"/>
    </row>
    <row r="295">
      <c r="F295" s="5" t="n"/>
      <c r="H295" s="6" t="n"/>
      <c r="I295" s="6" t="n"/>
      <c r="K295" s="6" t="n"/>
    </row>
    <row r="296">
      <c r="F296" s="5" t="n"/>
      <c r="H296" s="6" t="n"/>
      <c r="I296" s="6" t="n"/>
      <c r="K296" s="6" t="n"/>
    </row>
    <row r="297">
      <c r="F297" s="5" t="n"/>
      <c r="H297" s="6" t="n"/>
      <c r="I297" s="6" t="n"/>
      <c r="K297" s="6" t="n"/>
    </row>
    <row r="298">
      <c r="F298" s="5" t="n"/>
      <c r="H298" s="6" t="n"/>
      <c r="I298" s="6" t="n"/>
      <c r="K298" s="6" t="n"/>
    </row>
    <row r="299">
      <c r="F299" s="5" t="n"/>
      <c r="H299" s="6" t="n"/>
      <c r="I299" s="6" t="n"/>
      <c r="K299" s="6" t="n"/>
    </row>
    <row r="300">
      <c r="F300" s="5" t="n"/>
      <c r="H300" s="6" t="n"/>
      <c r="I300" s="6" t="n"/>
      <c r="K300" s="6" t="n"/>
    </row>
    <row r="301">
      <c r="F301" s="5" t="n"/>
      <c r="H301" s="6" t="n"/>
      <c r="I301" s="6" t="n"/>
      <c r="K301" s="6" t="n"/>
    </row>
    <row r="302">
      <c r="F302" s="5" t="n"/>
      <c r="H302" s="6" t="n"/>
      <c r="I302" s="6" t="n"/>
      <c r="K302" s="6" t="n"/>
    </row>
    <row r="303">
      <c r="F303" s="5" t="n"/>
      <c r="H303" s="6" t="n"/>
      <c r="I303" s="6" t="n"/>
      <c r="K303" s="6" t="n"/>
    </row>
    <row r="304">
      <c r="F304" s="5" t="n"/>
      <c r="H304" s="6" t="n"/>
      <c r="I304" s="6" t="n"/>
      <c r="K304" s="6" t="n"/>
    </row>
    <row r="305">
      <c r="F305" s="5" t="n"/>
      <c r="H305" s="6" t="n"/>
      <c r="I305" s="6" t="n"/>
      <c r="K305" s="6" t="n"/>
    </row>
    <row r="306">
      <c r="F306" s="5" t="n"/>
      <c r="H306" s="6" t="n"/>
      <c r="I306" s="6" t="n"/>
      <c r="K306" s="6" t="n"/>
    </row>
    <row r="307">
      <c r="F307" s="5" t="n"/>
      <c r="H307" s="6" t="n"/>
      <c r="I307" s="6" t="n"/>
      <c r="K307" s="6" t="n"/>
    </row>
    <row r="308">
      <c r="F308" s="5" t="n"/>
      <c r="H308" s="6" t="n"/>
      <c r="I308" s="6" t="n"/>
      <c r="K308" s="6" t="n"/>
    </row>
    <row r="309">
      <c r="F309" s="5" t="n"/>
      <c r="H309" s="6" t="n"/>
      <c r="I309" s="6" t="n"/>
      <c r="K309" s="6" t="n"/>
    </row>
    <row r="310">
      <c r="F310" s="5" t="n"/>
      <c r="H310" s="6" t="n"/>
      <c r="I310" s="6" t="n"/>
      <c r="K310" s="6" t="n"/>
    </row>
    <row r="311">
      <c r="F311" s="5" t="n"/>
      <c r="H311" s="6" t="n"/>
      <c r="I311" s="6" t="n"/>
      <c r="K311" s="6" t="n"/>
    </row>
    <row r="312">
      <c r="F312" s="5" t="n"/>
      <c r="H312" s="6" t="n"/>
      <c r="I312" s="6" t="n"/>
      <c r="K312" s="6" t="n"/>
    </row>
    <row r="313">
      <c r="F313" s="5" t="n"/>
      <c r="H313" s="6" t="n"/>
      <c r="I313" s="6" t="n"/>
      <c r="K313" s="6" t="n"/>
    </row>
    <row r="314">
      <c r="F314" s="5" t="n"/>
      <c r="H314" s="6" t="n"/>
      <c r="I314" s="6" t="n"/>
      <c r="K314" s="6" t="n"/>
    </row>
    <row r="315">
      <c r="F315" s="5" t="n"/>
      <c r="H315" s="6" t="n"/>
      <c r="I315" s="6" t="n"/>
      <c r="K315" s="6" t="n"/>
    </row>
    <row r="316">
      <c r="F316" s="5" t="n"/>
      <c r="H316" s="6" t="n"/>
      <c r="I316" s="6" t="n"/>
      <c r="K316" s="6" t="n"/>
    </row>
    <row r="317">
      <c r="F317" s="5" t="n"/>
      <c r="H317" s="6" t="n"/>
      <c r="I317" s="6" t="n"/>
      <c r="K317" s="6" t="n"/>
    </row>
    <row r="318">
      <c r="F318" s="5" t="n"/>
      <c r="H318" s="6" t="n"/>
      <c r="I318" s="6" t="n"/>
      <c r="K318" s="6" t="n"/>
    </row>
    <row r="319">
      <c r="F319" s="5" t="n"/>
      <c r="H319" s="6" t="n"/>
      <c r="I319" s="6" t="n"/>
      <c r="K319" s="6" t="n"/>
    </row>
    <row r="320">
      <c r="F320" s="5" t="n"/>
      <c r="H320" s="6" t="n"/>
      <c r="I320" s="6" t="n"/>
      <c r="K320" s="6" t="n"/>
    </row>
    <row r="321">
      <c r="F321" s="5" t="n"/>
      <c r="H321" s="6" t="n"/>
      <c r="I321" s="6" t="n"/>
      <c r="K321" s="6" t="n"/>
    </row>
    <row r="322">
      <c r="F322" s="5" t="n"/>
      <c r="H322" s="6" t="n"/>
      <c r="I322" s="6" t="n"/>
      <c r="K322" s="6" t="n"/>
    </row>
    <row r="323">
      <c r="F323" s="5" t="n"/>
      <c r="H323" s="6" t="n"/>
      <c r="I323" s="6" t="n"/>
      <c r="K323" s="6" t="n"/>
    </row>
    <row r="324">
      <c r="F324" s="5" t="n"/>
      <c r="H324" s="6" t="n"/>
      <c r="I324" s="6" t="n"/>
      <c r="K324" s="6" t="n"/>
    </row>
    <row r="325">
      <c r="F325" s="5" t="n"/>
      <c r="H325" s="6" t="n"/>
      <c r="I325" s="6" t="n"/>
      <c r="K325" s="6" t="n"/>
    </row>
    <row r="326">
      <c r="F326" s="5" t="n"/>
      <c r="H326" s="6" t="n"/>
      <c r="I326" s="6" t="n"/>
      <c r="K326" s="6" t="n"/>
    </row>
    <row r="327">
      <c r="F327" s="5" t="n"/>
      <c r="H327" s="6" t="n"/>
      <c r="I327" s="6" t="n"/>
      <c r="K327" s="6" t="n"/>
    </row>
    <row r="328">
      <c r="F328" s="5" t="n"/>
      <c r="H328" s="6" t="n"/>
      <c r="I328" s="6" t="n"/>
      <c r="K328" s="6" t="n"/>
    </row>
    <row r="329">
      <c r="F329" s="5" t="n"/>
      <c r="H329" s="6" t="n"/>
      <c r="I329" s="6" t="n"/>
      <c r="K329" s="6" t="n"/>
    </row>
    <row r="330">
      <c r="F330" s="5" t="n"/>
      <c r="H330" s="6" t="n"/>
      <c r="I330" s="6" t="n"/>
      <c r="K330" s="6" t="n"/>
    </row>
    <row r="331">
      <c r="F331" s="5" t="n"/>
      <c r="H331" s="6" t="n"/>
      <c r="I331" s="6" t="n"/>
      <c r="K331" s="6" t="n"/>
    </row>
    <row r="332">
      <c r="F332" s="5" t="n"/>
      <c r="H332" s="6" t="n"/>
      <c r="I332" s="6" t="n"/>
      <c r="K332" s="6" t="n"/>
    </row>
    <row r="333">
      <c r="F333" s="5" t="n"/>
      <c r="H333" s="6" t="n"/>
      <c r="I333" s="6" t="n"/>
      <c r="K333" s="6" t="n"/>
    </row>
    <row r="334">
      <c r="F334" s="5" t="n"/>
      <c r="H334" s="6" t="n"/>
      <c r="I334" s="6" t="n"/>
      <c r="K334" s="6" t="n"/>
    </row>
    <row r="335">
      <c r="F335" s="5" t="n"/>
      <c r="H335" s="6" t="n"/>
      <c r="I335" s="6" t="n"/>
      <c r="K335" s="6" t="n"/>
    </row>
    <row r="336">
      <c r="F336" s="5" t="n"/>
      <c r="H336" s="6" t="n"/>
      <c r="I336" s="6" t="n"/>
      <c r="K336" s="6" t="n"/>
    </row>
    <row r="337">
      <c r="F337" s="5" t="n"/>
      <c r="H337" s="6" t="n"/>
      <c r="I337" s="6" t="n"/>
      <c r="K337" s="6" t="n"/>
    </row>
    <row r="338">
      <c r="F338" s="5" t="n"/>
      <c r="H338" s="6" t="n"/>
      <c r="I338" s="6" t="n"/>
      <c r="K338" s="6" t="n"/>
    </row>
    <row r="339">
      <c r="F339" s="5" t="n"/>
      <c r="H339" s="6" t="n"/>
      <c r="I339" s="6" t="n"/>
      <c r="K339" s="6" t="n"/>
    </row>
    <row r="340">
      <c r="F340" s="5" t="n"/>
      <c r="H340" s="6" t="n"/>
      <c r="I340" s="6" t="n"/>
      <c r="K340" s="6" t="n"/>
    </row>
    <row r="341">
      <c r="F341" s="5" t="n"/>
      <c r="H341" s="6" t="n"/>
      <c r="I341" s="6" t="n"/>
      <c r="K341" s="6" t="n"/>
    </row>
    <row r="342">
      <c r="F342" s="5" t="n"/>
      <c r="H342" s="6" t="n"/>
      <c r="I342" s="6" t="n"/>
      <c r="K342" s="6" t="n"/>
    </row>
    <row r="343">
      <c r="F343" s="5" t="n"/>
      <c r="H343" s="6" t="n"/>
      <c r="I343" s="6" t="n"/>
      <c r="K343" s="6" t="n"/>
    </row>
    <row r="344">
      <c r="F344" s="5" t="n"/>
      <c r="H344" s="6" t="n"/>
      <c r="I344" s="6" t="n"/>
      <c r="K344" s="6" t="n"/>
    </row>
    <row r="345">
      <c r="F345" s="5" t="n"/>
      <c r="H345" s="6" t="n"/>
      <c r="I345" s="6" t="n"/>
      <c r="K345" s="6" t="n"/>
    </row>
    <row r="346">
      <c r="F346" s="5" t="n"/>
      <c r="H346" s="6" t="n"/>
      <c r="I346" s="6" t="n"/>
      <c r="K346" s="6" t="n"/>
    </row>
    <row r="347">
      <c r="F347" s="5" t="n"/>
      <c r="H347" s="6" t="n"/>
      <c r="I347" s="6" t="n"/>
      <c r="K347" s="6" t="n"/>
    </row>
    <row r="348">
      <c r="F348" s="5" t="n"/>
      <c r="H348" s="6" t="n"/>
      <c r="I348" s="6" t="n"/>
      <c r="K348" s="6" t="n"/>
    </row>
    <row r="349">
      <c r="F349" s="5" t="n"/>
      <c r="H349" s="6" t="n"/>
      <c r="I349" s="6" t="n"/>
      <c r="K349" s="6" t="n"/>
    </row>
    <row r="350">
      <c r="F350" s="5" t="n"/>
      <c r="H350" s="6" t="n"/>
      <c r="I350" s="6" t="n"/>
      <c r="K350" s="6" t="n"/>
    </row>
    <row r="351">
      <c r="F351" s="5" t="n"/>
      <c r="H351" s="6" t="n"/>
      <c r="I351" s="6" t="n"/>
      <c r="K351" s="6" t="n"/>
    </row>
    <row r="352">
      <c r="F352" s="5" t="n"/>
      <c r="H352" s="6" t="n"/>
      <c r="I352" s="6" t="n"/>
      <c r="K352" s="6" t="n"/>
    </row>
    <row r="353">
      <c r="F353" s="5" t="n"/>
      <c r="H353" s="6" t="n"/>
      <c r="I353" s="6" t="n"/>
      <c r="K353" s="6" t="n"/>
    </row>
    <row r="354">
      <c r="F354" s="5" t="n"/>
      <c r="H354" s="6" t="n"/>
      <c r="I354" s="6" t="n"/>
      <c r="K354" s="6" t="n"/>
    </row>
    <row r="355">
      <c r="F355" s="5" t="n"/>
      <c r="H355" s="6" t="n"/>
      <c r="I355" s="6" t="n"/>
      <c r="K355" s="6" t="n"/>
    </row>
    <row r="356">
      <c r="F356" s="5" t="n"/>
      <c r="H356" s="6" t="n"/>
      <c r="I356" s="6" t="n"/>
      <c r="K356" s="6" t="n"/>
    </row>
    <row r="357">
      <c r="F357" s="5" t="n"/>
      <c r="H357" s="6" t="n"/>
      <c r="I357" s="6" t="n"/>
      <c r="K357" s="6" t="n"/>
    </row>
    <row r="358">
      <c r="F358" s="5" t="n"/>
      <c r="H358" s="6" t="n"/>
      <c r="I358" s="6" t="n"/>
      <c r="K358" s="6" t="n"/>
    </row>
    <row r="359">
      <c r="F359" s="5" t="n"/>
      <c r="H359" s="6" t="n"/>
      <c r="I359" s="6" t="n"/>
      <c r="K359" s="6" t="n"/>
    </row>
    <row r="360">
      <c r="F360" s="5" t="n"/>
      <c r="H360" s="6" t="n"/>
      <c r="I360" s="6" t="n"/>
      <c r="K360" s="6" t="n"/>
    </row>
    <row r="361">
      <c r="F361" s="5" t="n"/>
      <c r="H361" s="6" t="n"/>
      <c r="I361" s="6" t="n"/>
      <c r="K361" s="6" t="n"/>
    </row>
    <row r="362">
      <c r="F362" s="5" t="n"/>
      <c r="H362" s="6" t="n"/>
      <c r="I362" s="6" t="n"/>
      <c r="K362" s="6" t="n"/>
    </row>
    <row r="363">
      <c r="F363" s="5" t="n"/>
      <c r="H363" s="6" t="n"/>
      <c r="I363" s="6" t="n"/>
      <c r="K363" s="6" t="n"/>
    </row>
    <row r="364">
      <c r="F364" s="5" t="n"/>
      <c r="H364" s="6" t="n"/>
      <c r="I364" s="6" t="n"/>
      <c r="K364" s="6" t="n"/>
    </row>
    <row r="365">
      <c r="F365" s="5" t="n"/>
      <c r="H365" s="6" t="n"/>
      <c r="I365" s="6" t="n"/>
      <c r="K365" s="6" t="n"/>
    </row>
    <row r="366">
      <c r="F366" s="5" t="n"/>
      <c r="H366" s="6" t="n"/>
      <c r="I366" s="6" t="n"/>
      <c r="K366" s="6" t="n"/>
    </row>
    <row r="367">
      <c r="F367" s="5" t="n"/>
      <c r="H367" s="6" t="n"/>
      <c r="I367" s="6" t="n"/>
      <c r="K367" s="6" t="n"/>
    </row>
    <row r="368">
      <c r="F368" s="5" t="n"/>
      <c r="H368" s="6" t="n"/>
      <c r="I368" s="6" t="n"/>
      <c r="K368" s="6" t="n"/>
    </row>
    <row r="369">
      <c r="F369" s="5" t="n"/>
      <c r="H369" s="6" t="n"/>
      <c r="I369" s="6" t="n"/>
      <c r="K369" s="6" t="n"/>
    </row>
    <row r="370">
      <c r="F370" s="5" t="n"/>
      <c r="H370" s="6" t="n"/>
      <c r="I370" s="6" t="n"/>
      <c r="K370" s="6" t="n"/>
    </row>
    <row r="371">
      <c r="F371" s="5" t="n"/>
      <c r="H371" s="6" t="n"/>
      <c r="I371" s="6" t="n"/>
      <c r="K371" s="6" t="n"/>
    </row>
    <row r="372">
      <c r="F372" s="5" t="n"/>
      <c r="H372" s="6" t="n"/>
      <c r="I372" s="6" t="n"/>
      <c r="K372" s="6" t="n"/>
    </row>
    <row r="373">
      <c r="F373" s="5" t="n"/>
      <c r="H373" s="6" t="n"/>
      <c r="I373" s="6" t="n"/>
      <c r="K373" s="6" t="n"/>
    </row>
    <row r="374">
      <c r="F374" s="5" t="n"/>
      <c r="H374" s="6" t="n"/>
      <c r="I374" s="6" t="n"/>
      <c r="K374" s="6" t="n"/>
    </row>
    <row r="375">
      <c r="F375" s="5" t="n"/>
      <c r="H375" s="6" t="n"/>
      <c r="I375" s="6" t="n"/>
      <c r="K375" s="6" t="n"/>
    </row>
    <row r="376">
      <c r="F376" s="5" t="n"/>
      <c r="H376" s="6" t="n"/>
      <c r="I376" s="6" t="n"/>
      <c r="K376" s="6" t="n"/>
    </row>
    <row r="377">
      <c r="F377" s="5" t="n"/>
      <c r="H377" s="6" t="n"/>
      <c r="I377" s="6" t="n"/>
      <c r="K377" s="6" t="n"/>
    </row>
    <row r="378">
      <c r="F378" s="5" t="n"/>
      <c r="H378" s="6" t="n"/>
      <c r="I378" s="6" t="n"/>
      <c r="K378" s="6" t="n"/>
    </row>
    <row r="379">
      <c r="F379" s="5" t="n"/>
      <c r="H379" s="6" t="n"/>
      <c r="I379" s="6" t="n"/>
      <c r="K379" s="6" t="n"/>
    </row>
    <row r="380">
      <c r="F380" s="5" t="n"/>
      <c r="H380" s="6" t="n"/>
      <c r="I380" s="6" t="n"/>
      <c r="K380" s="6" t="n"/>
    </row>
    <row r="381">
      <c r="F381" s="5" t="n"/>
      <c r="H381" s="6" t="n"/>
      <c r="I381" s="6" t="n"/>
      <c r="K381" s="6" t="n"/>
    </row>
    <row r="382">
      <c r="F382" s="5" t="n"/>
      <c r="H382" s="6" t="n"/>
      <c r="I382" s="6" t="n"/>
      <c r="K382" s="6" t="n"/>
    </row>
    <row r="383">
      <c r="F383" s="5" t="n"/>
      <c r="H383" s="6" t="n"/>
      <c r="I383" s="6" t="n"/>
      <c r="K383" s="6" t="n"/>
    </row>
    <row r="384">
      <c r="F384" s="5" t="n"/>
      <c r="H384" s="6" t="n"/>
      <c r="I384" s="6" t="n"/>
      <c r="K384" s="6" t="n"/>
    </row>
    <row r="385">
      <c r="F385" s="5" t="n"/>
      <c r="H385" s="6" t="n"/>
      <c r="I385" s="6" t="n"/>
      <c r="K385" s="6" t="n"/>
    </row>
    <row r="386">
      <c r="F386" s="5" t="n"/>
      <c r="H386" s="6" t="n"/>
      <c r="I386" s="6" t="n"/>
      <c r="K386" s="6" t="n"/>
    </row>
    <row r="387">
      <c r="F387" s="5" t="n"/>
      <c r="H387" s="6" t="n"/>
      <c r="I387" s="6" t="n"/>
      <c r="K387" s="6" t="n"/>
    </row>
    <row r="388">
      <c r="F388" s="5" t="n"/>
      <c r="H388" s="6" t="n"/>
      <c r="I388" s="6" t="n"/>
      <c r="K388" s="6" t="n"/>
    </row>
    <row r="389">
      <c r="F389" s="5" t="n"/>
      <c r="H389" s="6" t="n"/>
      <c r="I389" s="6" t="n"/>
      <c r="K389" s="6" t="n"/>
    </row>
    <row r="390">
      <c r="F390" s="5" t="n"/>
      <c r="H390" s="6" t="n"/>
      <c r="I390" s="6" t="n"/>
      <c r="K390" s="6" t="n"/>
    </row>
    <row r="391">
      <c r="F391" s="5" t="n"/>
      <c r="H391" s="6" t="n"/>
      <c r="I391" s="6" t="n"/>
      <c r="K391" s="6" t="n"/>
    </row>
    <row r="392">
      <c r="F392" s="5" t="n"/>
      <c r="H392" s="6" t="n"/>
      <c r="I392" s="6" t="n"/>
      <c r="K392" s="6" t="n"/>
    </row>
    <row r="393">
      <c r="F393" s="5" t="n"/>
      <c r="H393" s="6" t="n"/>
      <c r="I393" s="6" t="n"/>
      <c r="K393" s="6" t="n"/>
    </row>
    <row r="394">
      <c r="F394" s="5" t="n"/>
      <c r="H394" s="6" t="n"/>
      <c r="I394" s="6" t="n"/>
      <c r="K394" s="6" t="n"/>
    </row>
    <row r="395">
      <c r="F395" s="5" t="n"/>
      <c r="H395" s="6" t="n"/>
      <c r="I395" s="6" t="n"/>
      <c r="K395" s="6" t="n"/>
    </row>
    <row r="396">
      <c r="F396" s="5" t="n"/>
      <c r="H396" s="6" t="n"/>
      <c r="I396" s="6" t="n"/>
      <c r="K396" s="6" t="n"/>
    </row>
    <row r="397">
      <c r="F397" s="5" t="n"/>
      <c r="H397" s="6" t="n"/>
      <c r="I397" s="6" t="n"/>
      <c r="K397" s="6" t="n"/>
    </row>
    <row r="398">
      <c r="F398" s="5" t="n"/>
      <c r="H398" s="6" t="n"/>
      <c r="I398" s="6" t="n"/>
      <c r="K398" s="6" t="n"/>
    </row>
    <row r="399">
      <c r="F399" s="5" t="n"/>
      <c r="H399" s="6" t="n"/>
      <c r="I399" s="6" t="n"/>
      <c r="K399" s="6" t="n"/>
    </row>
    <row r="400">
      <c r="F400" s="5" t="n"/>
      <c r="H400" s="6" t="n"/>
      <c r="I400" s="6" t="n"/>
      <c r="K400" s="6" t="n"/>
    </row>
    <row r="401">
      <c r="F401" s="5" t="n"/>
      <c r="H401" s="6" t="n"/>
      <c r="I401" s="6" t="n"/>
      <c r="K401" s="6" t="n"/>
    </row>
    <row r="402">
      <c r="F402" s="5" t="n"/>
      <c r="H402" s="6" t="n"/>
      <c r="I402" s="6" t="n"/>
      <c r="K402" s="6" t="n"/>
    </row>
    <row r="403">
      <c r="F403" s="5" t="n"/>
      <c r="H403" s="6" t="n"/>
      <c r="I403" s="6" t="n"/>
      <c r="K403" s="6" t="n"/>
    </row>
    <row r="404">
      <c r="F404" s="5" t="n"/>
      <c r="H404" s="6" t="n"/>
      <c r="I404" s="6" t="n"/>
      <c r="K404" s="6" t="n"/>
    </row>
    <row r="405">
      <c r="F405" s="5" t="n"/>
      <c r="H405" s="6" t="n"/>
      <c r="I405" s="6" t="n"/>
      <c r="K405" s="6" t="n"/>
    </row>
    <row r="406">
      <c r="F406" s="5" t="n"/>
      <c r="H406" s="6" t="n"/>
      <c r="I406" s="6" t="n"/>
      <c r="K406" s="6" t="n"/>
    </row>
    <row r="407">
      <c r="F407" s="5" t="n"/>
      <c r="H407" s="6" t="n"/>
      <c r="I407" s="6" t="n"/>
      <c r="K407" s="6" t="n"/>
    </row>
    <row r="408">
      <c r="F408" s="5" t="n"/>
      <c r="H408" s="6" t="n"/>
      <c r="I408" s="6" t="n"/>
      <c r="K408" s="6" t="n"/>
    </row>
    <row r="409">
      <c r="F409" s="5" t="n"/>
      <c r="H409" s="6" t="n"/>
      <c r="I409" s="6" t="n"/>
      <c r="K409" s="6" t="n"/>
    </row>
    <row r="410">
      <c r="F410" s="5" t="n"/>
      <c r="H410" s="6" t="n"/>
      <c r="I410" s="6" t="n"/>
      <c r="K410" s="6" t="n"/>
    </row>
    <row r="411">
      <c r="F411" s="5" t="n"/>
      <c r="H411" s="6" t="n"/>
      <c r="I411" s="6" t="n"/>
      <c r="K411" s="6" t="n"/>
    </row>
    <row r="412">
      <c r="F412" s="5" t="n"/>
      <c r="H412" s="6" t="n"/>
      <c r="I412" s="6" t="n"/>
      <c r="K412" s="6" t="n"/>
    </row>
    <row r="413">
      <c r="F413" s="5" t="n"/>
      <c r="H413" s="6" t="n"/>
      <c r="I413" s="6" t="n"/>
      <c r="K413" s="6" t="n"/>
    </row>
    <row r="414">
      <c r="F414" s="5" t="n"/>
      <c r="H414" s="6" t="n"/>
      <c r="I414" s="6" t="n"/>
      <c r="K414" s="6" t="n"/>
    </row>
    <row r="415">
      <c r="F415" s="5" t="n"/>
      <c r="H415" s="6" t="n"/>
      <c r="I415" s="6" t="n"/>
      <c r="K415" s="6" t="n"/>
    </row>
    <row r="416">
      <c r="F416" s="5" t="n"/>
      <c r="H416" s="6" t="n"/>
      <c r="I416" s="6" t="n"/>
      <c r="K416" s="6" t="n"/>
    </row>
    <row r="417">
      <c r="F417" s="5" t="n"/>
      <c r="H417" s="6" t="n"/>
      <c r="I417" s="6" t="n"/>
      <c r="K417" s="6" t="n"/>
    </row>
    <row r="418">
      <c r="F418" s="5" t="n"/>
      <c r="H418" s="6" t="n"/>
      <c r="I418" s="6" t="n"/>
      <c r="K418" s="6" t="n"/>
    </row>
    <row r="419">
      <c r="F419" s="5" t="n"/>
      <c r="H419" s="6" t="n"/>
      <c r="I419" s="6" t="n"/>
      <c r="K419" s="6" t="n"/>
    </row>
    <row r="420">
      <c r="F420" s="5" t="n"/>
      <c r="H420" s="6" t="n"/>
      <c r="I420" s="6" t="n"/>
      <c r="K420" s="6" t="n"/>
    </row>
    <row r="421">
      <c r="F421" s="5" t="n"/>
      <c r="H421" s="6" t="n"/>
      <c r="I421" s="6" t="n"/>
      <c r="K421" s="6" t="n"/>
    </row>
    <row r="422">
      <c r="F422" s="5" t="n"/>
      <c r="H422" s="6" t="n"/>
      <c r="I422" s="6" t="n"/>
      <c r="K422" s="6" t="n"/>
    </row>
    <row r="423">
      <c r="F423" s="5" t="n"/>
      <c r="H423" s="6" t="n"/>
      <c r="I423" s="6" t="n"/>
      <c r="K423" s="6" t="n"/>
    </row>
    <row r="424">
      <c r="F424" s="5" t="n"/>
      <c r="H424" s="6" t="n"/>
      <c r="I424" s="6" t="n"/>
      <c r="K424" s="6" t="n"/>
    </row>
    <row r="425">
      <c r="F425" s="5" t="n"/>
      <c r="H425" s="6" t="n"/>
      <c r="I425" s="6" t="n"/>
      <c r="K425" s="6" t="n"/>
    </row>
    <row r="426">
      <c r="F426" s="5" t="n"/>
      <c r="H426" s="6" t="n"/>
      <c r="I426" s="6" t="n"/>
      <c r="K426" s="6" t="n"/>
    </row>
    <row r="427">
      <c r="F427" s="5" t="n"/>
      <c r="H427" s="6" t="n"/>
      <c r="I427" s="6" t="n"/>
      <c r="K427" s="6" t="n"/>
    </row>
    <row r="428">
      <c r="F428" s="5" t="n"/>
      <c r="H428" s="6" t="n"/>
      <c r="I428" s="6" t="n"/>
      <c r="K428" s="6" t="n"/>
    </row>
    <row r="429">
      <c r="F429" s="5" t="n"/>
      <c r="H429" s="6" t="n"/>
      <c r="I429" s="6" t="n"/>
      <c r="K429" s="6" t="n"/>
    </row>
    <row r="430">
      <c r="F430" s="5" t="n"/>
      <c r="H430" s="6" t="n"/>
      <c r="I430" s="6" t="n"/>
      <c r="K430" s="6" t="n"/>
    </row>
    <row r="431">
      <c r="F431" s="5" t="n"/>
      <c r="H431" s="6" t="n"/>
      <c r="I431" s="6" t="n"/>
      <c r="K431" s="6" t="n"/>
    </row>
    <row r="432">
      <c r="F432" s="5" t="n"/>
      <c r="H432" s="6" t="n"/>
      <c r="I432" s="6" t="n"/>
      <c r="K432" s="6" t="n"/>
    </row>
    <row r="433">
      <c r="F433" s="5" t="n"/>
      <c r="H433" s="6" t="n"/>
      <c r="I433" s="6" t="n"/>
      <c r="K433" s="6" t="n"/>
    </row>
    <row r="434">
      <c r="F434" s="5" t="n"/>
      <c r="H434" s="6" t="n"/>
      <c r="I434" s="6" t="n"/>
      <c r="K434" s="6" t="n"/>
    </row>
    <row r="435">
      <c r="F435" s="5" t="n"/>
      <c r="H435" s="6" t="n"/>
      <c r="I435" s="6" t="n"/>
      <c r="K435" s="6" t="n"/>
    </row>
    <row r="436">
      <c r="F436" s="5" t="n"/>
      <c r="H436" s="6" t="n"/>
      <c r="I436" s="6" t="n"/>
      <c r="K436" s="6" t="n"/>
    </row>
    <row r="437">
      <c r="F437" s="5" t="n"/>
      <c r="H437" s="6" t="n"/>
      <c r="I437" s="6" t="n"/>
      <c r="K437" s="6" t="n"/>
    </row>
    <row r="438">
      <c r="F438" s="5" t="n"/>
      <c r="H438" s="6" t="n"/>
      <c r="I438" s="6" t="n"/>
      <c r="K438" s="6" t="n"/>
    </row>
    <row r="439">
      <c r="F439" s="5" t="n"/>
      <c r="H439" s="6" t="n"/>
      <c r="I439" s="6" t="n"/>
      <c r="K439" s="6" t="n"/>
    </row>
    <row r="440">
      <c r="F440" s="5" t="n"/>
      <c r="H440" s="6" t="n"/>
      <c r="I440" s="6" t="n"/>
      <c r="K440" s="6" t="n"/>
    </row>
    <row r="441">
      <c r="F441" s="5" t="n"/>
      <c r="H441" s="6" t="n"/>
      <c r="I441" s="6" t="n"/>
      <c r="K441" s="6" t="n"/>
    </row>
    <row r="442">
      <c r="F442" s="5" t="n"/>
      <c r="H442" s="6" t="n"/>
      <c r="I442" s="6" t="n"/>
      <c r="K442" s="6" t="n"/>
    </row>
    <row r="443">
      <c r="F443" s="5" t="n"/>
      <c r="H443" s="6" t="n"/>
      <c r="I443" s="6" t="n"/>
      <c r="K443" s="6" t="n"/>
    </row>
    <row r="444">
      <c r="F444" s="5" t="n"/>
      <c r="H444" s="6" t="n"/>
      <c r="I444" s="6" t="n"/>
      <c r="K444" s="6" t="n"/>
    </row>
    <row r="445">
      <c r="F445" s="5" t="n"/>
      <c r="H445" s="6" t="n"/>
      <c r="I445" s="6" t="n"/>
      <c r="K445" s="6" t="n"/>
    </row>
    <row r="446">
      <c r="F446" s="5" t="n"/>
      <c r="H446" s="6" t="n"/>
      <c r="I446" s="6" t="n"/>
      <c r="K446" s="6" t="n"/>
    </row>
    <row r="447">
      <c r="F447" s="5" t="n"/>
      <c r="H447" s="6" t="n"/>
      <c r="I447" s="6" t="n"/>
      <c r="K447" s="6" t="n"/>
    </row>
    <row r="448">
      <c r="F448" s="5" t="n"/>
      <c r="H448" s="6" t="n"/>
      <c r="I448" s="6" t="n"/>
      <c r="K448" s="6" t="n"/>
    </row>
    <row r="449">
      <c r="F449" s="5" t="n"/>
      <c r="H449" s="6" t="n"/>
      <c r="I449" s="6" t="n"/>
      <c r="K449" s="6" t="n"/>
    </row>
    <row r="450">
      <c r="F450" s="5" t="n"/>
      <c r="H450" s="6" t="n"/>
      <c r="I450" s="6" t="n"/>
      <c r="K450" s="6" t="n"/>
    </row>
    <row r="451">
      <c r="F451" s="5" t="n"/>
      <c r="H451" s="6" t="n"/>
      <c r="I451" s="6" t="n"/>
      <c r="K451" s="6" t="n"/>
    </row>
    <row r="452">
      <c r="F452" s="5" t="n"/>
      <c r="H452" s="6" t="n"/>
      <c r="I452" s="6" t="n"/>
      <c r="K452" s="6" t="n"/>
    </row>
    <row r="453">
      <c r="F453" s="5" t="n"/>
      <c r="H453" s="6" t="n"/>
      <c r="I453" s="6" t="n"/>
      <c r="K453" s="6" t="n"/>
    </row>
    <row r="454">
      <c r="F454" s="5" t="n"/>
      <c r="H454" s="6" t="n"/>
      <c r="I454" s="6" t="n"/>
      <c r="K454" s="6" t="n"/>
    </row>
    <row r="455">
      <c r="F455" s="5" t="n"/>
      <c r="H455" s="6" t="n"/>
      <c r="I455" s="6" t="n"/>
      <c r="K455" s="6" t="n"/>
    </row>
    <row r="456">
      <c r="F456" s="5" t="n"/>
      <c r="H456" s="6" t="n"/>
      <c r="I456" s="6" t="n"/>
      <c r="K456" s="6" t="n"/>
    </row>
    <row r="457">
      <c r="F457" s="5" t="n"/>
      <c r="H457" s="6" t="n"/>
      <c r="I457" s="6" t="n"/>
      <c r="K457" s="6" t="n"/>
    </row>
    <row r="458">
      <c r="F458" s="5" t="n"/>
      <c r="H458" s="6" t="n"/>
      <c r="I458" s="6" t="n"/>
      <c r="K458" s="6" t="n"/>
    </row>
    <row r="459">
      <c r="F459" s="5" t="n"/>
      <c r="H459" s="6" t="n"/>
      <c r="I459" s="6" t="n"/>
      <c r="K459" s="6" t="n"/>
    </row>
    <row r="460">
      <c r="F460" s="5" t="n"/>
      <c r="H460" s="6" t="n"/>
      <c r="I460" s="6" t="n"/>
      <c r="K460" s="6" t="n"/>
    </row>
    <row r="461">
      <c r="F461" s="5" t="n"/>
      <c r="H461" s="6" t="n"/>
      <c r="I461" s="6" t="n"/>
      <c r="K461" s="6" t="n"/>
    </row>
    <row r="462">
      <c r="F462" s="5" t="n"/>
      <c r="H462" s="6" t="n"/>
      <c r="I462" s="6" t="n"/>
      <c r="K462" s="6" t="n"/>
    </row>
    <row r="463">
      <c r="F463" s="5" t="n"/>
      <c r="H463" s="6" t="n"/>
      <c r="I463" s="6" t="n"/>
      <c r="K463" s="6" t="n"/>
    </row>
    <row r="464">
      <c r="F464" s="5" t="n"/>
      <c r="H464" s="6" t="n"/>
      <c r="I464" s="6" t="n"/>
      <c r="K464" s="6" t="n"/>
    </row>
    <row r="465">
      <c r="F465" s="5" t="n"/>
      <c r="H465" s="6" t="n"/>
      <c r="I465" s="6" t="n"/>
      <c r="K465" s="6" t="n"/>
    </row>
    <row r="466">
      <c r="F466" s="5" t="n"/>
      <c r="H466" s="6" t="n"/>
      <c r="I466" s="6" t="n"/>
      <c r="K466" s="6" t="n"/>
    </row>
    <row r="467">
      <c r="F467" s="5" t="n"/>
      <c r="H467" s="6" t="n"/>
      <c r="I467" s="6" t="n"/>
      <c r="K467" s="6" t="n"/>
    </row>
    <row r="468">
      <c r="F468" s="5" t="n"/>
      <c r="H468" s="6" t="n"/>
      <c r="I468" s="6" t="n"/>
      <c r="K468" s="6" t="n"/>
    </row>
    <row r="469">
      <c r="F469" s="5" t="n"/>
      <c r="H469" s="6" t="n"/>
      <c r="I469" s="6" t="n"/>
      <c r="K469" s="6" t="n"/>
    </row>
    <row r="470">
      <c r="F470" s="5" t="n"/>
      <c r="H470" s="6" t="n"/>
      <c r="I470" s="6" t="n"/>
      <c r="K470" s="6" t="n"/>
    </row>
    <row r="471">
      <c r="F471" s="5" t="n"/>
      <c r="H471" s="6" t="n"/>
      <c r="I471" s="6" t="n"/>
      <c r="K471" s="6" t="n"/>
    </row>
    <row r="472">
      <c r="F472" s="5" t="n"/>
      <c r="H472" s="6" t="n"/>
      <c r="I472" s="6" t="n"/>
      <c r="K472" s="6" t="n"/>
    </row>
    <row r="473">
      <c r="F473" s="5" t="n"/>
      <c r="H473" s="6" t="n"/>
      <c r="I473" s="6" t="n"/>
      <c r="K473" s="6" t="n"/>
    </row>
    <row r="474">
      <c r="F474" s="5" t="n"/>
      <c r="H474" s="6" t="n"/>
      <c r="I474" s="6" t="n"/>
      <c r="K474" s="6" t="n"/>
    </row>
    <row r="475">
      <c r="F475" s="5" t="n"/>
      <c r="H475" s="6" t="n"/>
      <c r="I475" s="6" t="n"/>
      <c r="K475" s="6" t="n"/>
    </row>
    <row r="476">
      <c r="F476" s="5" t="n"/>
      <c r="H476" s="6" t="n"/>
      <c r="I476" s="6" t="n"/>
      <c r="K476" s="6" t="n"/>
    </row>
    <row r="477">
      <c r="F477" s="5" t="n"/>
      <c r="H477" s="6" t="n"/>
      <c r="I477" s="6" t="n"/>
      <c r="K477" s="6" t="n"/>
    </row>
    <row r="478">
      <c r="F478" s="5" t="n"/>
      <c r="H478" s="6" t="n"/>
      <c r="I478" s="6" t="n"/>
      <c r="K478" s="6" t="n"/>
    </row>
    <row r="479">
      <c r="F479" s="5" t="n"/>
      <c r="H479" s="6" t="n"/>
      <c r="I479" s="6" t="n"/>
      <c r="K479" s="6" t="n"/>
    </row>
    <row r="480">
      <c r="F480" s="5" t="n"/>
      <c r="H480" s="6" t="n"/>
      <c r="I480" s="6" t="n"/>
      <c r="K480" s="6" t="n"/>
    </row>
    <row r="481">
      <c r="F481" s="5" t="n"/>
      <c r="H481" s="6" t="n"/>
      <c r="I481" s="6" t="n"/>
      <c r="K481" s="6" t="n"/>
    </row>
    <row r="482">
      <c r="F482" s="5" t="n"/>
      <c r="H482" s="6" t="n"/>
      <c r="I482" s="6" t="n"/>
      <c r="K482" s="6" t="n"/>
    </row>
    <row r="483">
      <c r="F483" s="5" t="n"/>
      <c r="H483" s="6" t="n"/>
      <c r="I483" s="6" t="n"/>
      <c r="K483" s="6" t="n"/>
    </row>
    <row r="484">
      <c r="F484" s="5" t="n"/>
      <c r="H484" s="6" t="n"/>
      <c r="I484" s="6" t="n"/>
      <c r="K484" s="6" t="n"/>
    </row>
    <row r="485">
      <c r="F485" s="5" t="n"/>
      <c r="H485" s="6" t="n"/>
      <c r="I485" s="6" t="n"/>
      <c r="K485" s="6" t="n"/>
    </row>
    <row r="486">
      <c r="F486" s="5" t="n"/>
      <c r="H486" s="6" t="n"/>
      <c r="I486" s="6" t="n"/>
      <c r="K486" s="6" t="n"/>
    </row>
    <row r="487">
      <c r="F487" s="5" t="n"/>
      <c r="H487" s="6" t="n"/>
      <c r="I487" s="6" t="n"/>
      <c r="K487" s="6" t="n"/>
    </row>
    <row r="488">
      <c r="F488" s="5" t="n"/>
      <c r="H488" s="6" t="n"/>
      <c r="I488" s="6" t="n"/>
      <c r="K488" s="6" t="n"/>
    </row>
    <row r="489">
      <c r="F489" s="5" t="n"/>
      <c r="H489" s="6" t="n"/>
      <c r="I489" s="6" t="n"/>
      <c r="K489" s="6" t="n"/>
    </row>
    <row r="490">
      <c r="F490" s="5" t="n"/>
      <c r="H490" s="6" t="n"/>
      <c r="I490" s="6" t="n"/>
      <c r="K490" s="6" t="n"/>
    </row>
    <row r="491">
      <c r="F491" s="5" t="n"/>
      <c r="H491" s="6" t="n"/>
      <c r="I491" s="6" t="n"/>
      <c r="K491" s="6" t="n"/>
    </row>
    <row r="492">
      <c r="F492" s="5" t="n"/>
      <c r="H492" s="6" t="n"/>
      <c r="I492" s="6" t="n"/>
      <c r="K492" s="6" t="n"/>
    </row>
    <row r="493">
      <c r="F493" s="5" t="n"/>
      <c r="H493" s="6" t="n"/>
      <c r="I493" s="6" t="n"/>
      <c r="K493" s="6" t="n"/>
    </row>
    <row r="494">
      <c r="F494" s="5" t="n"/>
      <c r="H494" s="6" t="n"/>
      <c r="I494" s="6" t="n"/>
      <c r="K494" s="6" t="n"/>
    </row>
    <row r="495">
      <c r="F495" s="5" t="n"/>
      <c r="H495" s="6" t="n"/>
      <c r="I495" s="6" t="n"/>
      <c r="K495" s="6" t="n"/>
    </row>
    <row r="496">
      <c r="F496" s="5" t="n"/>
      <c r="H496" s="6" t="n"/>
      <c r="I496" s="6" t="n"/>
      <c r="K496" s="6" t="n"/>
    </row>
    <row r="497">
      <c r="F497" s="5" t="n"/>
      <c r="H497" s="6" t="n"/>
      <c r="I497" s="6" t="n"/>
      <c r="K497" s="6" t="n"/>
    </row>
    <row r="498">
      <c r="F498" s="5" t="n"/>
      <c r="H498" s="6" t="n"/>
      <c r="I498" s="6" t="n"/>
      <c r="K498" s="6" t="n"/>
    </row>
    <row r="499">
      <c r="F499" s="5" t="n"/>
      <c r="H499" s="6" t="n"/>
      <c r="I499" s="6" t="n"/>
      <c r="K499" s="6" t="n"/>
    </row>
    <row r="500">
      <c r="F500" s="5" t="n"/>
      <c r="H500" s="6" t="n"/>
      <c r="I500" s="6" t="n"/>
      <c r="K500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  <col width="14" customWidth="1" min="7" max="7"/>
    <col width="15" customWidth="1" min="8" max="8"/>
    <col width="14" customWidth="1" min="9" max="9"/>
    <col width="27" customWidth="1" min="10" max="10"/>
    <col width="19" customWidth="1" min="11" max="11"/>
    <col width="16" customWidth="1" min="12" max="12"/>
    <col width="10" customWidth="1" min="13" max="13"/>
    <col width="10" customWidth="1" min="14" max="14"/>
  </cols>
  <sheetData>
    <row r="1" ht="22" customHeight="1">
      <c r="A1" s="4" t="inlineStr">
        <is>
          <t>PropertyID</t>
        </is>
      </c>
      <c r="B1" s="4" t="inlineStr">
        <is>
          <t>AssetID</t>
        </is>
      </c>
      <c r="C1" s="4" t="inlineStr">
        <is>
          <t>Country</t>
        </is>
      </c>
      <c r="D1" s="4" t="inlineStr">
        <is>
          <t>Address</t>
        </is>
      </c>
      <c r="E1" s="4" t="inlineStr">
        <is>
          <t>PropertyType</t>
        </is>
      </c>
      <c r="F1" s="4" t="inlineStr">
        <is>
          <t>Ownership</t>
        </is>
      </c>
      <c r="G1" s="4" t="inlineStr">
        <is>
          <t>PurchaseDate</t>
        </is>
      </c>
      <c r="H1" s="4" t="inlineStr">
        <is>
          <t>PurchasePrice</t>
        </is>
      </c>
      <c r="I1" s="4" t="inlineStr">
        <is>
          <t>CurrentValue</t>
        </is>
      </c>
      <c r="J1" s="4" t="inlineStr">
        <is>
          <t>MortgageLinkedLiabilityID</t>
        </is>
      </c>
      <c r="K1" s="4" t="inlineStr">
        <is>
          <t>RentalIncomeGross</t>
        </is>
      </c>
      <c r="L1" s="4" t="inlineStr">
        <is>
          <t>RentalExpenses</t>
        </is>
      </c>
      <c r="M1" s="4" t="inlineStr">
        <is>
          <t>NetYield</t>
        </is>
      </c>
      <c r="N1" s="4" t="inlineStr">
        <is>
          <t>Notes</t>
        </is>
      </c>
    </row>
    <row r="2">
      <c r="G2" s="5" t="n"/>
      <c r="H2" s="6" t="n"/>
      <c r="I2" s="6" t="n"/>
      <c r="K2" s="6" t="n"/>
      <c r="L2" s="6" t="n"/>
      <c r="M2" s="7" t="n"/>
    </row>
    <row r="3">
      <c r="G3" s="5" t="n"/>
      <c r="H3" s="6" t="n"/>
      <c r="I3" s="6" t="n"/>
      <c r="K3" s="6" t="n"/>
      <c r="L3" s="6" t="n"/>
      <c r="M3" s="7" t="n"/>
    </row>
    <row r="4">
      <c r="G4" s="5" t="n"/>
      <c r="H4" s="6" t="n"/>
      <c r="I4" s="6" t="n"/>
      <c r="K4" s="6" t="n"/>
      <c r="L4" s="6" t="n"/>
      <c r="M4" s="7" t="n"/>
    </row>
    <row r="5">
      <c r="G5" s="5" t="n"/>
      <c r="H5" s="6" t="n"/>
      <c r="I5" s="6" t="n"/>
      <c r="K5" s="6" t="n"/>
      <c r="L5" s="6" t="n"/>
      <c r="M5" s="7" t="n"/>
    </row>
    <row r="6">
      <c r="G6" s="5" t="n"/>
      <c r="H6" s="6" t="n"/>
      <c r="I6" s="6" t="n"/>
      <c r="K6" s="6" t="n"/>
      <c r="L6" s="6" t="n"/>
      <c r="M6" s="7" t="n"/>
    </row>
    <row r="7">
      <c r="G7" s="5" t="n"/>
      <c r="H7" s="6" t="n"/>
      <c r="I7" s="6" t="n"/>
      <c r="K7" s="6" t="n"/>
      <c r="L7" s="6" t="n"/>
      <c r="M7" s="7" t="n"/>
    </row>
    <row r="8">
      <c r="G8" s="5" t="n"/>
      <c r="H8" s="6" t="n"/>
      <c r="I8" s="6" t="n"/>
      <c r="K8" s="6" t="n"/>
      <c r="L8" s="6" t="n"/>
      <c r="M8" s="7" t="n"/>
    </row>
    <row r="9">
      <c r="G9" s="5" t="n"/>
      <c r="H9" s="6" t="n"/>
      <c r="I9" s="6" t="n"/>
      <c r="K9" s="6" t="n"/>
      <c r="L9" s="6" t="n"/>
      <c r="M9" s="7" t="n"/>
    </row>
    <row r="10">
      <c r="G10" s="5" t="n"/>
      <c r="H10" s="6" t="n"/>
      <c r="I10" s="6" t="n"/>
      <c r="K10" s="6" t="n"/>
      <c r="L10" s="6" t="n"/>
      <c r="M10" s="7" t="n"/>
    </row>
    <row r="11">
      <c r="G11" s="5" t="n"/>
      <c r="H11" s="6" t="n"/>
      <c r="I11" s="6" t="n"/>
      <c r="K11" s="6" t="n"/>
      <c r="L11" s="6" t="n"/>
      <c r="M11" s="7" t="n"/>
    </row>
    <row r="12">
      <c r="G12" s="5" t="n"/>
      <c r="H12" s="6" t="n"/>
      <c r="I12" s="6" t="n"/>
      <c r="K12" s="6" t="n"/>
      <c r="L12" s="6" t="n"/>
      <c r="M12" s="7" t="n"/>
    </row>
    <row r="13">
      <c r="G13" s="5" t="n"/>
      <c r="H13" s="6" t="n"/>
      <c r="I13" s="6" t="n"/>
      <c r="K13" s="6" t="n"/>
      <c r="L13" s="6" t="n"/>
      <c r="M13" s="7" t="n"/>
    </row>
    <row r="14">
      <c r="G14" s="5" t="n"/>
      <c r="H14" s="6" t="n"/>
      <c r="I14" s="6" t="n"/>
      <c r="K14" s="6" t="n"/>
      <c r="L14" s="6" t="n"/>
      <c r="M14" s="7" t="n"/>
    </row>
    <row r="15">
      <c r="G15" s="5" t="n"/>
      <c r="H15" s="6" t="n"/>
      <c r="I15" s="6" t="n"/>
      <c r="K15" s="6" t="n"/>
      <c r="L15" s="6" t="n"/>
      <c r="M15" s="7" t="n"/>
    </row>
    <row r="16">
      <c r="G16" s="5" t="n"/>
      <c r="H16" s="6" t="n"/>
      <c r="I16" s="6" t="n"/>
      <c r="K16" s="6" t="n"/>
      <c r="L16" s="6" t="n"/>
      <c r="M16" s="7" t="n"/>
    </row>
    <row r="17">
      <c r="G17" s="5" t="n"/>
      <c r="H17" s="6" t="n"/>
      <c r="I17" s="6" t="n"/>
      <c r="K17" s="6" t="n"/>
      <c r="L17" s="6" t="n"/>
      <c r="M17" s="7" t="n"/>
    </row>
    <row r="18">
      <c r="G18" s="5" t="n"/>
      <c r="H18" s="6" t="n"/>
      <c r="I18" s="6" t="n"/>
      <c r="K18" s="6" t="n"/>
      <c r="L18" s="6" t="n"/>
      <c r="M18" s="7" t="n"/>
    </row>
    <row r="19">
      <c r="G19" s="5" t="n"/>
      <c r="H19" s="6" t="n"/>
      <c r="I19" s="6" t="n"/>
      <c r="K19" s="6" t="n"/>
      <c r="L19" s="6" t="n"/>
      <c r="M19" s="7" t="n"/>
    </row>
    <row r="20">
      <c r="G20" s="5" t="n"/>
      <c r="H20" s="6" t="n"/>
      <c r="I20" s="6" t="n"/>
      <c r="K20" s="6" t="n"/>
      <c r="L20" s="6" t="n"/>
      <c r="M20" s="7" t="n"/>
    </row>
    <row r="21">
      <c r="G21" s="5" t="n"/>
      <c r="H21" s="6" t="n"/>
      <c r="I21" s="6" t="n"/>
      <c r="K21" s="6" t="n"/>
      <c r="L21" s="6" t="n"/>
      <c r="M21" s="7" t="n"/>
    </row>
    <row r="22">
      <c r="G22" s="5" t="n"/>
      <c r="H22" s="6" t="n"/>
      <c r="I22" s="6" t="n"/>
      <c r="K22" s="6" t="n"/>
      <c r="L22" s="6" t="n"/>
      <c r="M22" s="7" t="n"/>
    </row>
    <row r="23">
      <c r="G23" s="5" t="n"/>
      <c r="H23" s="6" t="n"/>
      <c r="I23" s="6" t="n"/>
      <c r="K23" s="6" t="n"/>
      <c r="L23" s="6" t="n"/>
      <c r="M23" s="7" t="n"/>
    </row>
    <row r="24">
      <c r="G24" s="5" t="n"/>
      <c r="H24" s="6" t="n"/>
      <c r="I24" s="6" t="n"/>
      <c r="K24" s="6" t="n"/>
      <c r="L24" s="6" t="n"/>
      <c r="M24" s="7" t="n"/>
    </row>
    <row r="25">
      <c r="G25" s="5" t="n"/>
      <c r="H25" s="6" t="n"/>
      <c r="I25" s="6" t="n"/>
      <c r="K25" s="6" t="n"/>
      <c r="L25" s="6" t="n"/>
      <c r="M25" s="7" t="n"/>
    </row>
    <row r="26">
      <c r="G26" s="5" t="n"/>
      <c r="H26" s="6" t="n"/>
      <c r="I26" s="6" t="n"/>
      <c r="K26" s="6" t="n"/>
      <c r="L26" s="6" t="n"/>
      <c r="M26" s="7" t="n"/>
    </row>
    <row r="27">
      <c r="G27" s="5" t="n"/>
      <c r="H27" s="6" t="n"/>
      <c r="I27" s="6" t="n"/>
      <c r="K27" s="6" t="n"/>
      <c r="L27" s="6" t="n"/>
      <c r="M27" s="7" t="n"/>
    </row>
    <row r="28">
      <c r="G28" s="5" t="n"/>
      <c r="H28" s="6" t="n"/>
      <c r="I28" s="6" t="n"/>
      <c r="K28" s="6" t="n"/>
      <c r="L28" s="6" t="n"/>
      <c r="M28" s="7" t="n"/>
    </row>
    <row r="29">
      <c r="G29" s="5" t="n"/>
      <c r="H29" s="6" t="n"/>
      <c r="I29" s="6" t="n"/>
      <c r="K29" s="6" t="n"/>
      <c r="L29" s="6" t="n"/>
      <c r="M29" s="7" t="n"/>
    </row>
    <row r="30">
      <c r="G30" s="5" t="n"/>
      <c r="H30" s="6" t="n"/>
      <c r="I30" s="6" t="n"/>
      <c r="K30" s="6" t="n"/>
      <c r="L30" s="6" t="n"/>
      <c r="M30" s="7" t="n"/>
    </row>
    <row r="31">
      <c r="G31" s="5" t="n"/>
      <c r="H31" s="6" t="n"/>
      <c r="I31" s="6" t="n"/>
      <c r="K31" s="6" t="n"/>
      <c r="L31" s="6" t="n"/>
      <c r="M31" s="7" t="n"/>
    </row>
    <row r="32">
      <c r="G32" s="5" t="n"/>
      <c r="H32" s="6" t="n"/>
      <c r="I32" s="6" t="n"/>
      <c r="K32" s="6" t="n"/>
      <c r="L32" s="6" t="n"/>
      <c r="M32" s="7" t="n"/>
    </row>
    <row r="33">
      <c r="G33" s="5" t="n"/>
      <c r="H33" s="6" t="n"/>
      <c r="I33" s="6" t="n"/>
      <c r="K33" s="6" t="n"/>
      <c r="L33" s="6" t="n"/>
      <c r="M33" s="7" t="n"/>
    </row>
    <row r="34">
      <c r="G34" s="5" t="n"/>
      <c r="H34" s="6" t="n"/>
      <c r="I34" s="6" t="n"/>
      <c r="K34" s="6" t="n"/>
      <c r="L34" s="6" t="n"/>
      <c r="M34" s="7" t="n"/>
    </row>
    <row r="35">
      <c r="G35" s="5" t="n"/>
      <c r="H35" s="6" t="n"/>
      <c r="I35" s="6" t="n"/>
      <c r="K35" s="6" t="n"/>
      <c r="L35" s="6" t="n"/>
      <c r="M35" s="7" t="n"/>
    </row>
    <row r="36">
      <c r="G36" s="5" t="n"/>
      <c r="H36" s="6" t="n"/>
      <c r="I36" s="6" t="n"/>
      <c r="K36" s="6" t="n"/>
      <c r="L36" s="6" t="n"/>
      <c r="M36" s="7" t="n"/>
    </row>
    <row r="37">
      <c r="G37" s="5" t="n"/>
      <c r="H37" s="6" t="n"/>
      <c r="I37" s="6" t="n"/>
      <c r="K37" s="6" t="n"/>
      <c r="L37" s="6" t="n"/>
      <c r="M37" s="7" t="n"/>
    </row>
    <row r="38">
      <c r="G38" s="5" t="n"/>
      <c r="H38" s="6" t="n"/>
      <c r="I38" s="6" t="n"/>
      <c r="K38" s="6" t="n"/>
      <c r="L38" s="6" t="n"/>
      <c r="M38" s="7" t="n"/>
    </row>
    <row r="39">
      <c r="G39" s="5" t="n"/>
      <c r="H39" s="6" t="n"/>
      <c r="I39" s="6" t="n"/>
      <c r="K39" s="6" t="n"/>
      <c r="L39" s="6" t="n"/>
      <c r="M39" s="7" t="n"/>
    </row>
    <row r="40">
      <c r="G40" s="5" t="n"/>
      <c r="H40" s="6" t="n"/>
      <c r="I40" s="6" t="n"/>
      <c r="K40" s="6" t="n"/>
      <c r="L40" s="6" t="n"/>
      <c r="M40" s="7" t="n"/>
    </row>
    <row r="41">
      <c r="G41" s="5" t="n"/>
      <c r="H41" s="6" t="n"/>
      <c r="I41" s="6" t="n"/>
      <c r="K41" s="6" t="n"/>
      <c r="L41" s="6" t="n"/>
      <c r="M41" s="7" t="n"/>
    </row>
    <row r="42">
      <c r="G42" s="5" t="n"/>
      <c r="H42" s="6" t="n"/>
      <c r="I42" s="6" t="n"/>
      <c r="K42" s="6" t="n"/>
      <c r="L42" s="6" t="n"/>
      <c r="M42" s="7" t="n"/>
    </row>
    <row r="43">
      <c r="G43" s="5" t="n"/>
      <c r="H43" s="6" t="n"/>
      <c r="I43" s="6" t="n"/>
      <c r="K43" s="6" t="n"/>
      <c r="L43" s="6" t="n"/>
      <c r="M43" s="7" t="n"/>
    </row>
    <row r="44">
      <c r="G44" s="5" t="n"/>
      <c r="H44" s="6" t="n"/>
      <c r="I44" s="6" t="n"/>
      <c r="K44" s="6" t="n"/>
      <c r="L44" s="6" t="n"/>
      <c r="M44" s="7" t="n"/>
    </row>
    <row r="45">
      <c r="G45" s="5" t="n"/>
      <c r="H45" s="6" t="n"/>
      <c r="I45" s="6" t="n"/>
      <c r="K45" s="6" t="n"/>
      <c r="L45" s="6" t="n"/>
      <c r="M45" s="7" t="n"/>
    </row>
    <row r="46">
      <c r="G46" s="5" t="n"/>
      <c r="H46" s="6" t="n"/>
      <c r="I46" s="6" t="n"/>
      <c r="K46" s="6" t="n"/>
      <c r="L46" s="6" t="n"/>
      <c r="M46" s="7" t="n"/>
    </row>
    <row r="47">
      <c r="G47" s="5" t="n"/>
      <c r="H47" s="6" t="n"/>
      <c r="I47" s="6" t="n"/>
      <c r="K47" s="6" t="n"/>
      <c r="L47" s="6" t="n"/>
      <c r="M47" s="7" t="n"/>
    </row>
    <row r="48">
      <c r="G48" s="5" t="n"/>
      <c r="H48" s="6" t="n"/>
      <c r="I48" s="6" t="n"/>
      <c r="K48" s="6" t="n"/>
      <c r="L48" s="6" t="n"/>
      <c r="M48" s="7" t="n"/>
    </row>
    <row r="49">
      <c r="G49" s="5" t="n"/>
      <c r="H49" s="6" t="n"/>
      <c r="I49" s="6" t="n"/>
      <c r="K49" s="6" t="n"/>
      <c r="L49" s="6" t="n"/>
      <c r="M49" s="7" t="n"/>
    </row>
    <row r="50">
      <c r="G50" s="5" t="n"/>
      <c r="H50" s="6" t="n"/>
      <c r="I50" s="6" t="n"/>
      <c r="K50" s="6" t="n"/>
      <c r="L50" s="6" t="n"/>
      <c r="M50" s="7" t="n"/>
    </row>
    <row r="51">
      <c r="G51" s="5" t="n"/>
      <c r="H51" s="6" t="n"/>
      <c r="I51" s="6" t="n"/>
      <c r="K51" s="6" t="n"/>
      <c r="L51" s="6" t="n"/>
      <c r="M51" s="7" t="n"/>
    </row>
    <row r="52">
      <c r="G52" s="5" t="n"/>
      <c r="H52" s="6" t="n"/>
      <c r="I52" s="6" t="n"/>
      <c r="K52" s="6" t="n"/>
      <c r="L52" s="6" t="n"/>
      <c r="M52" s="7" t="n"/>
    </row>
    <row r="53">
      <c r="G53" s="5" t="n"/>
      <c r="H53" s="6" t="n"/>
      <c r="I53" s="6" t="n"/>
      <c r="K53" s="6" t="n"/>
      <c r="L53" s="6" t="n"/>
      <c r="M53" s="7" t="n"/>
    </row>
    <row r="54">
      <c r="G54" s="5" t="n"/>
      <c r="H54" s="6" t="n"/>
      <c r="I54" s="6" t="n"/>
      <c r="K54" s="6" t="n"/>
      <c r="L54" s="6" t="n"/>
      <c r="M54" s="7" t="n"/>
    </row>
    <row r="55">
      <c r="G55" s="5" t="n"/>
      <c r="H55" s="6" t="n"/>
      <c r="I55" s="6" t="n"/>
      <c r="K55" s="6" t="n"/>
      <c r="L55" s="6" t="n"/>
      <c r="M55" s="7" t="n"/>
    </row>
    <row r="56">
      <c r="G56" s="5" t="n"/>
      <c r="H56" s="6" t="n"/>
      <c r="I56" s="6" t="n"/>
      <c r="K56" s="6" t="n"/>
      <c r="L56" s="6" t="n"/>
      <c r="M56" s="7" t="n"/>
    </row>
    <row r="57">
      <c r="G57" s="5" t="n"/>
      <c r="H57" s="6" t="n"/>
      <c r="I57" s="6" t="n"/>
      <c r="K57" s="6" t="n"/>
      <c r="L57" s="6" t="n"/>
      <c r="M57" s="7" t="n"/>
    </row>
    <row r="58">
      <c r="G58" s="5" t="n"/>
      <c r="H58" s="6" t="n"/>
      <c r="I58" s="6" t="n"/>
      <c r="K58" s="6" t="n"/>
      <c r="L58" s="6" t="n"/>
      <c r="M58" s="7" t="n"/>
    </row>
    <row r="59">
      <c r="G59" s="5" t="n"/>
      <c r="H59" s="6" t="n"/>
      <c r="I59" s="6" t="n"/>
      <c r="K59" s="6" t="n"/>
      <c r="L59" s="6" t="n"/>
      <c r="M59" s="7" t="n"/>
    </row>
    <row r="60">
      <c r="G60" s="5" t="n"/>
      <c r="H60" s="6" t="n"/>
      <c r="I60" s="6" t="n"/>
      <c r="K60" s="6" t="n"/>
      <c r="L60" s="6" t="n"/>
      <c r="M60" s="7" t="n"/>
    </row>
    <row r="61">
      <c r="G61" s="5" t="n"/>
      <c r="H61" s="6" t="n"/>
      <c r="I61" s="6" t="n"/>
      <c r="K61" s="6" t="n"/>
      <c r="L61" s="6" t="n"/>
      <c r="M61" s="7" t="n"/>
    </row>
    <row r="62">
      <c r="G62" s="5" t="n"/>
      <c r="H62" s="6" t="n"/>
      <c r="I62" s="6" t="n"/>
      <c r="K62" s="6" t="n"/>
      <c r="L62" s="6" t="n"/>
      <c r="M62" s="7" t="n"/>
    </row>
    <row r="63">
      <c r="G63" s="5" t="n"/>
      <c r="H63" s="6" t="n"/>
      <c r="I63" s="6" t="n"/>
      <c r="K63" s="6" t="n"/>
      <c r="L63" s="6" t="n"/>
      <c r="M63" s="7" t="n"/>
    </row>
    <row r="64">
      <c r="G64" s="5" t="n"/>
      <c r="H64" s="6" t="n"/>
      <c r="I64" s="6" t="n"/>
      <c r="K64" s="6" t="n"/>
      <c r="L64" s="6" t="n"/>
      <c r="M64" s="7" t="n"/>
    </row>
    <row r="65">
      <c r="G65" s="5" t="n"/>
      <c r="H65" s="6" t="n"/>
      <c r="I65" s="6" t="n"/>
      <c r="K65" s="6" t="n"/>
      <c r="L65" s="6" t="n"/>
      <c r="M65" s="7" t="n"/>
    </row>
    <row r="66">
      <c r="G66" s="5" t="n"/>
      <c r="H66" s="6" t="n"/>
      <c r="I66" s="6" t="n"/>
      <c r="K66" s="6" t="n"/>
      <c r="L66" s="6" t="n"/>
      <c r="M66" s="7" t="n"/>
    </row>
    <row r="67">
      <c r="G67" s="5" t="n"/>
      <c r="H67" s="6" t="n"/>
      <c r="I67" s="6" t="n"/>
      <c r="K67" s="6" t="n"/>
      <c r="L67" s="6" t="n"/>
      <c r="M67" s="7" t="n"/>
    </row>
    <row r="68">
      <c r="G68" s="5" t="n"/>
      <c r="H68" s="6" t="n"/>
      <c r="I68" s="6" t="n"/>
      <c r="K68" s="6" t="n"/>
      <c r="L68" s="6" t="n"/>
      <c r="M68" s="7" t="n"/>
    </row>
    <row r="69">
      <c r="G69" s="5" t="n"/>
      <c r="H69" s="6" t="n"/>
      <c r="I69" s="6" t="n"/>
      <c r="K69" s="6" t="n"/>
      <c r="L69" s="6" t="n"/>
      <c r="M69" s="7" t="n"/>
    </row>
    <row r="70">
      <c r="G70" s="5" t="n"/>
      <c r="H70" s="6" t="n"/>
      <c r="I70" s="6" t="n"/>
      <c r="K70" s="6" t="n"/>
      <c r="L70" s="6" t="n"/>
      <c r="M70" s="7" t="n"/>
    </row>
    <row r="71">
      <c r="G71" s="5" t="n"/>
      <c r="H71" s="6" t="n"/>
      <c r="I71" s="6" t="n"/>
      <c r="K71" s="6" t="n"/>
      <c r="L71" s="6" t="n"/>
      <c r="M71" s="7" t="n"/>
    </row>
    <row r="72">
      <c r="G72" s="5" t="n"/>
      <c r="H72" s="6" t="n"/>
      <c r="I72" s="6" t="n"/>
      <c r="K72" s="6" t="n"/>
      <c r="L72" s="6" t="n"/>
      <c r="M72" s="7" t="n"/>
    </row>
    <row r="73">
      <c r="G73" s="5" t="n"/>
      <c r="H73" s="6" t="n"/>
      <c r="I73" s="6" t="n"/>
      <c r="K73" s="6" t="n"/>
      <c r="L73" s="6" t="n"/>
      <c r="M73" s="7" t="n"/>
    </row>
    <row r="74">
      <c r="G74" s="5" t="n"/>
      <c r="H74" s="6" t="n"/>
      <c r="I74" s="6" t="n"/>
      <c r="K74" s="6" t="n"/>
      <c r="L74" s="6" t="n"/>
      <c r="M74" s="7" t="n"/>
    </row>
    <row r="75">
      <c r="G75" s="5" t="n"/>
      <c r="H75" s="6" t="n"/>
      <c r="I75" s="6" t="n"/>
      <c r="K75" s="6" t="n"/>
      <c r="L75" s="6" t="n"/>
      <c r="M75" s="7" t="n"/>
    </row>
    <row r="76">
      <c r="G76" s="5" t="n"/>
      <c r="H76" s="6" t="n"/>
      <c r="I76" s="6" t="n"/>
      <c r="K76" s="6" t="n"/>
      <c r="L76" s="6" t="n"/>
      <c r="M76" s="7" t="n"/>
    </row>
    <row r="77">
      <c r="G77" s="5" t="n"/>
      <c r="H77" s="6" t="n"/>
      <c r="I77" s="6" t="n"/>
      <c r="K77" s="6" t="n"/>
      <c r="L77" s="6" t="n"/>
      <c r="M77" s="7" t="n"/>
    </row>
    <row r="78">
      <c r="G78" s="5" t="n"/>
      <c r="H78" s="6" t="n"/>
      <c r="I78" s="6" t="n"/>
      <c r="K78" s="6" t="n"/>
      <c r="L78" s="6" t="n"/>
      <c r="M78" s="7" t="n"/>
    </row>
    <row r="79">
      <c r="G79" s="5" t="n"/>
      <c r="H79" s="6" t="n"/>
      <c r="I79" s="6" t="n"/>
      <c r="K79" s="6" t="n"/>
      <c r="L79" s="6" t="n"/>
      <c r="M79" s="7" t="n"/>
    </row>
    <row r="80">
      <c r="G80" s="5" t="n"/>
      <c r="H80" s="6" t="n"/>
      <c r="I80" s="6" t="n"/>
      <c r="K80" s="6" t="n"/>
      <c r="L80" s="6" t="n"/>
      <c r="M80" s="7" t="n"/>
    </row>
    <row r="81">
      <c r="G81" s="5" t="n"/>
      <c r="H81" s="6" t="n"/>
      <c r="I81" s="6" t="n"/>
      <c r="K81" s="6" t="n"/>
      <c r="L81" s="6" t="n"/>
      <c r="M81" s="7" t="n"/>
    </row>
    <row r="82">
      <c r="G82" s="5" t="n"/>
      <c r="H82" s="6" t="n"/>
      <c r="I82" s="6" t="n"/>
      <c r="K82" s="6" t="n"/>
      <c r="L82" s="6" t="n"/>
      <c r="M82" s="7" t="n"/>
    </row>
    <row r="83">
      <c r="G83" s="5" t="n"/>
      <c r="H83" s="6" t="n"/>
      <c r="I83" s="6" t="n"/>
      <c r="K83" s="6" t="n"/>
      <c r="L83" s="6" t="n"/>
      <c r="M83" s="7" t="n"/>
    </row>
    <row r="84">
      <c r="G84" s="5" t="n"/>
      <c r="H84" s="6" t="n"/>
      <c r="I84" s="6" t="n"/>
      <c r="K84" s="6" t="n"/>
      <c r="L84" s="6" t="n"/>
      <c r="M84" s="7" t="n"/>
    </row>
    <row r="85">
      <c r="G85" s="5" t="n"/>
      <c r="H85" s="6" t="n"/>
      <c r="I85" s="6" t="n"/>
      <c r="K85" s="6" t="n"/>
      <c r="L85" s="6" t="n"/>
      <c r="M85" s="7" t="n"/>
    </row>
    <row r="86">
      <c r="G86" s="5" t="n"/>
      <c r="H86" s="6" t="n"/>
      <c r="I86" s="6" t="n"/>
      <c r="K86" s="6" t="n"/>
      <c r="L86" s="6" t="n"/>
      <c r="M86" s="7" t="n"/>
    </row>
    <row r="87">
      <c r="G87" s="5" t="n"/>
      <c r="H87" s="6" t="n"/>
      <c r="I87" s="6" t="n"/>
      <c r="K87" s="6" t="n"/>
      <c r="L87" s="6" t="n"/>
      <c r="M87" s="7" t="n"/>
    </row>
    <row r="88">
      <c r="G88" s="5" t="n"/>
      <c r="H88" s="6" t="n"/>
      <c r="I88" s="6" t="n"/>
      <c r="K88" s="6" t="n"/>
      <c r="L88" s="6" t="n"/>
      <c r="M88" s="7" t="n"/>
    </row>
    <row r="89">
      <c r="G89" s="5" t="n"/>
      <c r="H89" s="6" t="n"/>
      <c r="I89" s="6" t="n"/>
      <c r="K89" s="6" t="n"/>
      <c r="L89" s="6" t="n"/>
      <c r="M89" s="7" t="n"/>
    </row>
    <row r="90">
      <c r="G90" s="5" t="n"/>
      <c r="H90" s="6" t="n"/>
      <c r="I90" s="6" t="n"/>
      <c r="K90" s="6" t="n"/>
      <c r="L90" s="6" t="n"/>
      <c r="M90" s="7" t="n"/>
    </row>
    <row r="91">
      <c r="G91" s="5" t="n"/>
      <c r="H91" s="6" t="n"/>
      <c r="I91" s="6" t="n"/>
      <c r="K91" s="6" t="n"/>
      <c r="L91" s="6" t="n"/>
      <c r="M91" s="7" t="n"/>
    </row>
    <row r="92">
      <c r="G92" s="5" t="n"/>
      <c r="H92" s="6" t="n"/>
      <c r="I92" s="6" t="n"/>
      <c r="K92" s="6" t="n"/>
      <c r="L92" s="6" t="n"/>
      <c r="M92" s="7" t="n"/>
    </row>
    <row r="93">
      <c r="G93" s="5" t="n"/>
      <c r="H93" s="6" t="n"/>
      <c r="I93" s="6" t="n"/>
      <c r="K93" s="6" t="n"/>
      <c r="L93" s="6" t="n"/>
      <c r="M93" s="7" t="n"/>
    </row>
    <row r="94">
      <c r="G94" s="5" t="n"/>
      <c r="H94" s="6" t="n"/>
      <c r="I94" s="6" t="n"/>
      <c r="K94" s="6" t="n"/>
      <c r="L94" s="6" t="n"/>
      <c r="M94" s="7" t="n"/>
    </row>
    <row r="95">
      <c r="G95" s="5" t="n"/>
      <c r="H95" s="6" t="n"/>
      <c r="I95" s="6" t="n"/>
      <c r="K95" s="6" t="n"/>
      <c r="L95" s="6" t="n"/>
      <c r="M95" s="7" t="n"/>
    </row>
    <row r="96">
      <c r="G96" s="5" t="n"/>
      <c r="H96" s="6" t="n"/>
      <c r="I96" s="6" t="n"/>
      <c r="K96" s="6" t="n"/>
      <c r="L96" s="6" t="n"/>
      <c r="M96" s="7" t="n"/>
    </row>
    <row r="97">
      <c r="G97" s="5" t="n"/>
      <c r="H97" s="6" t="n"/>
      <c r="I97" s="6" t="n"/>
      <c r="K97" s="6" t="n"/>
      <c r="L97" s="6" t="n"/>
      <c r="M97" s="7" t="n"/>
    </row>
    <row r="98">
      <c r="G98" s="5" t="n"/>
      <c r="H98" s="6" t="n"/>
      <c r="I98" s="6" t="n"/>
      <c r="K98" s="6" t="n"/>
      <c r="L98" s="6" t="n"/>
      <c r="M98" s="7" t="n"/>
    </row>
    <row r="99">
      <c r="G99" s="5" t="n"/>
      <c r="H99" s="6" t="n"/>
      <c r="I99" s="6" t="n"/>
      <c r="K99" s="6" t="n"/>
      <c r="L99" s="6" t="n"/>
      <c r="M99" s="7" t="n"/>
    </row>
    <row r="100">
      <c r="G100" s="5" t="n"/>
      <c r="H100" s="6" t="n"/>
      <c r="I100" s="6" t="n"/>
      <c r="K100" s="6" t="n"/>
      <c r="L100" s="6" t="n"/>
      <c r="M100" s="7" t="n"/>
    </row>
    <row r="101">
      <c r="G101" s="5" t="n"/>
      <c r="H101" s="6" t="n"/>
      <c r="I101" s="6" t="n"/>
      <c r="K101" s="6" t="n"/>
      <c r="L101" s="6" t="n"/>
      <c r="M101" s="7" t="n"/>
    </row>
    <row r="102">
      <c r="G102" s="5" t="n"/>
      <c r="H102" s="6" t="n"/>
      <c r="I102" s="6" t="n"/>
      <c r="K102" s="6" t="n"/>
      <c r="L102" s="6" t="n"/>
      <c r="M102" s="7" t="n"/>
    </row>
    <row r="103">
      <c r="G103" s="5" t="n"/>
      <c r="H103" s="6" t="n"/>
      <c r="I103" s="6" t="n"/>
      <c r="K103" s="6" t="n"/>
      <c r="L103" s="6" t="n"/>
      <c r="M103" s="7" t="n"/>
    </row>
    <row r="104">
      <c r="G104" s="5" t="n"/>
      <c r="H104" s="6" t="n"/>
      <c r="I104" s="6" t="n"/>
      <c r="K104" s="6" t="n"/>
      <c r="L104" s="6" t="n"/>
      <c r="M104" s="7" t="n"/>
    </row>
    <row r="105">
      <c r="G105" s="5" t="n"/>
      <c r="H105" s="6" t="n"/>
      <c r="I105" s="6" t="n"/>
      <c r="K105" s="6" t="n"/>
      <c r="L105" s="6" t="n"/>
      <c r="M105" s="7" t="n"/>
    </row>
    <row r="106">
      <c r="G106" s="5" t="n"/>
      <c r="H106" s="6" t="n"/>
      <c r="I106" s="6" t="n"/>
      <c r="K106" s="6" t="n"/>
      <c r="L106" s="6" t="n"/>
      <c r="M106" s="7" t="n"/>
    </row>
    <row r="107">
      <c r="G107" s="5" t="n"/>
      <c r="H107" s="6" t="n"/>
      <c r="I107" s="6" t="n"/>
      <c r="K107" s="6" t="n"/>
      <c r="L107" s="6" t="n"/>
      <c r="M107" s="7" t="n"/>
    </row>
    <row r="108">
      <c r="G108" s="5" t="n"/>
      <c r="H108" s="6" t="n"/>
      <c r="I108" s="6" t="n"/>
      <c r="K108" s="6" t="n"/>
      <c r="L108" s="6" t="n"/>
      <c r="M108" s="7" t="n"/>
    </row>
    <row r="109">
      <c r="G109" s="5" t="n"/>
      <c r="H109" s="6" t="n"/>
      <c r="I109" s="6" t="n"/>
      <c r="K109" s="6" t="n"/>
      <c r="L109" s="6" t="n"/>
      <c r="M109" s="7" t="n"/>
    </row>
    <row r="110">
      <c r="G110" s="5" t="n"/>
      <c r="H110" s="6" t="n"/>
      <c r="I110" s="6" t="n"/>
      <c r="K110" s="6" t="n"/>
      <c r="L110" s="6" t="n"/>
      <c r="M110" s="7" t="n"/>
    </row>
    <row r="111">
      <c r="G111" s="5" t="n"/>
      <c r="H111" s="6" t="n"/>
      <c r="I111" s="6" t="n"/>
      <c r="K111" s="6" t="n"/>
      <c r="L111" s="6" t="n"/>
      <c r="M111" s="7" t="n"/>
    </row>
    <row r="112">
      <c r="G112" s="5" t="n"/>
      <c r="H112" s="6" t="n"/>
      <c r="I112" s="6" t="n"/>
      <c r="K112" s="6" t="n"/>
      <c r="L112" s="6" t="n"/>
      <c r="M112" s="7" t="n"/>
    </row>
    <row r="113">
      <c r="G113" s="5" t="n"/>
      <c r="H113" s="6" t="n"/>
      <c r="I113" s="6" t="n"/>
      <c r="K113" s="6" t="n"/>
      <c r="L113" s="6" t="n"/>
      <c r="M113" s="7" t="n"/>
    </row>
    <row r="114">
      <c r="G114" s="5" t="n"/>
      <c r="H114" s="6" t="n"/>
      <c r="I114" s="6" t="n"/>
      <c r="K114" s="6" t="n"/>
      <c r="L114" s="6" t="n"/>
      <c r="M114" s="7" t="n"/>
    </row>
    <row r="115">
      <c r="G115" s="5" t="n"/>
      <c r="H115" s="6" t="n"/>
      <c r="I115" s="6" t="n"/>
      <c r="K115" s="6" t="n"/>
      <c r="L115" s="6" t="n"/>
      <c r="M115" s="7" t="n"/>
    </row>
    <row r="116">
      <c r="G116" s="5" t="n"/>
      <c r="H116" s="6" t="n"/>
      <c r="I116" s="6" t="n"/>
      <c r="K116" s="6" t="n"/>
      <c r="L116" s="6" t="n"/>
      <c r="M116" s="7" t="n"/>
    </row>
    <row r="117">
      <c r="G117" s="5" t="n"/>
      <c r="H117" s="6" t="n"/>
      <c r="I117" s="6" t="n"/>
      <c r="K117" s="6" t="n"/>
      <c r="L117" s="6" t="n"/>
      <c r="M117" s="7" t="n"/>
    </row>
    <row r="118">
      <c r="G118" s="5" t="n"/>
      <c r="H118" s="6" t="n"/>
      <c r="I118" s="6" t="n"/>
      <c r="K118" s="6" t="n"/>
      <c r="L118" s="6" t="n"/>
      <c r="M118" s="7" t="n"/>
    </row>
    <row r="119">
      <c r="G119" s="5" t="n"/>
      <c r="H119" s="6" t="n"/>
      <c r="I119" s="6" t="n"/>
      <c r="K119" s="6" t="n"/>
      <c r="L119" s="6" t="n"/>
      <c r="M119" s="7" t="n"/>
    </row>
    <row r="120">
      <c r="G120" s="5" t="n"/>
      <c r="H120" s="6" t="n"/>
      <c r="I120" s="6" t="n"/>
      <c r="K120" s="6" t="n"/>
      <c r="L120" s="6" t="n"/>
      <c r="M120" s="7" t="n"/>
    </row>
    <row r="121">
      <c r="G121" s="5" t="n"/>
      <c r="H121" s="6" t="n"/>
      <c r="I121" s="6" t="n"/>
      <c r="K121" s="6" t="n"/>
      <c r="L121" s="6" t="n"/>
      <c r="M121" s="7" t="n"/>
    </row>
    <row r="122">
      <c r="G122" s="5" t="n"/>
      <c r="H122" s="6" t="n"/>
      <c r="I122" s="6" t="n"/>
      <c r="K122" s="6" t="n"/>
      <c r="L122" s="6" t="n"/>
      <c r="M122" s="7" t="n"/>
    </row>
    <row r="123">
      <c r="G123" s="5" t="n"/>
      <c r="H123" s="6" t="n"/>
      <c r="I123" s="6" t="n"/>
      <c r="K123" s="6" t="n"/>
      <c r="L123" s="6" t="n"/>
      <c r="M123" s="7" t="n"/>
    </row>
    <row r="124">
      <c r="G124" s="5" t="n"/>
      <c r="H124" s="6" t="n"/>
      <c r="I124" s="6" t="n"/>
      <c r="K124" s="6" t="n"/>
      <c r="L124" s="6" t="n"/>
      <c r="M124" s="7" t="n"/>
    </row>
    <row r="125">
      <c r="G125" s="5" t="n"/>
      <c r="H125" s="6" t="n"/>
      <c r="I125" s="6" t="n"/>
      <c r="K125" s="6" t="n"/>
      <c r="L125" s="6" t="n"/>
      <c r="M125" s="7" t="n"/>
    </row>
    <row r="126">
      <c r="G126" s="5" t="n"/>
      <c r="H126" s="6" t="n"/>
      <c r="I126" s="6" t="n"/>
      <c r="K126" s="6" t="n"/>
      <c r="L126" s="6" t="n"/>
      <c r="M126" s="7" t="n"/>
    </row>
    <row r="127">
      <c r="G127" s="5" t="n"/>
      <c r="H127" s="6" t="n"/>
      <c r="I127" s="6" t="n"/>
      <c r="K127" s="6" t="n"/>
      <c r="L127" s="6" t="n"/>
      <c r="M127" s="7" t="n"/>
    </row>
    <row r="128">
      <c r="G128" s="5" t="n"/>
      <c r="H128" s="6" t="n"/>
      <c r="I128" s="6" t="n"/>
      <c r="K128" s="6" t="n"/>
      <c r="L128" s="6" t="n"/>
      <c r="M128" s="7" t="n"/>
    </row>
    <row r="129">
      <c r="G129" s="5" t="n"/>
      <c r="H129" s="6" t="n"/>
      <c r="I129" s="6" t="n"/>
      <c r="K129" s="6" t="n"/>
      <c r="L129" s="6" t="n"/>
      <c r="M129" s="7" t="n"/>
    </row>
    <row r="130">
      <c r="G130" s="5" t="n"/>
      <c r="H130" s="6" t="n"/>
      <c r="I130" s="6" t="n"/>
      <c r="K130" s="6" t="n"/>
      <c r="L130" s="6" t="n"/>
      <c r="M130" s="7" t="n"/>
    </row>
    <row r="131">
      <c r="G131" s="5" t="n"/>
      <c r="H131" s="6" t="n"/>
      <c r="I131" s="6" t="n"/>
      <c r="K131" s="6" t="n"/>
      <c r="L131" s="6" t="n"/>
      <c r="M131" s="7" t="n"/>
    </row>
    <row r="132">
      <c r="G132" s="5" t="n"/>
      <c r="H132" s="6" t="n"/>
      <c r="I132" s="6" t="n"/>
      <c r="K132" s="6" t="n"/>
      <c r="L132" s="6" t="n"/>
      <c r="M132" s="7" t="n"/>
    </row>
    <row r="133">
      <c r="G133" s="5" t="n"/>
      <c r="H133" s="6" t="n"/>
      <c r="I133" s="6" t="n"/>
      <c r="K133" s="6" t="n"/>
      <c r="L133" s="6" t="n"/>
      <c r="M133" s="7" t="n"/>
    </row>
    <row r="134">
      <c r="G134" s="5" t="n"/>
      <c r="H134" s="6" t="n"/>
      <c r="I134" s="6" t="n"/>
      <c r="K134" s="6" t="n"/>
      <c r="L134" s="6" t="n"/>
      <c r="M134" s="7" t="n"/>
    </row>
    <row r="135">
      <c r="G135" s="5" t="n"/>
      <c r="H135" s="6" t="n"/>
      <c r="I135" s="6" t="n"/>
      <c r="K135" s="6" t="n"/>
      <c r="L135" s="6" t="n"/>
      <c r="M135" s="7" t="n"/>
    </row>
    <row r="136">
      <c r="G136" s="5" t="n"/>
      <c r="H136" s="6" t="n"/>
      <c r="I136" s="6" t="n"/>
      <c r="K136" s="6" t="n"/>
      <c r="L136" s="6" t="n"/>
      <c r="M136" s="7" t="n"/>
    </row>
    <row r="137">
      <c r="G137" s="5" t="n"/>
      <c r="H137" s="6" t="n"/>
      <c r="I137" s="6" t="n"/>
      <c r="K137" s="6" t="n"/>
      <c r="L137" s="6" t="n"/>
      <c r="M137" s="7" t="n"/>
    </row>
    <row r="138">
      <c r="G138" s="5" t="n"/>
      <c r="H138" s="6" t="n"/>
      <c r="I138" s="6" t="n"/>
      <c r="K138" s="6" t="n"/>
      <c r="L138" s="6" t="n"/>
      <c r="M138" s="7" t="n"/>
    </row>
    <row r="139">
      <c r="G139" s="5" t="n"/>
      <c r="H139" s="6" t="n"/>
      <c r="I139" s="6" t="n"/>
      <c r="K139" s="6" t="n"/>
      <c r="L139" s="6" t="n"/>
      <c r="M139" s="7" t="n"/>
    </row>
    <row r="140">
      <c r="G140" s="5" t="n"/>
      <c r="H140" s="6" t="n"/>
      <c r="I140" s="6" t="n"/>
      <c r="K140" s="6" t="n"/>
      <c r="L140" s="6" t="n"/>
      <c r="M140" s="7" t="n"/>
    </row>
    <row r="141">
      <c r="G141" s="5" t="n"/>
      <c r="H141" s="6" t="n"/>
      <c r="I141" s="6" t="n"/>
      <c r="K141" s="6" t="n"/>
      <c r="L141" s="6" t="n"/>
      <c r="M141" s="7" t="n"/>
    </row>
    <row r="142">
      <c r="G142" s="5" t="n"/>
      <c r="H142" s="6" t="n"/>
      <c r="I142" s="6" t="n"/>
      <c r="K142" s="6" t="n"/>
      <c r="L142" s="6" t="n"/>
      <c r="M142" s="7" t="n"/>
    </row>
    <row r="143">
      <c r="G143" s="5" t="n"/>
      <c r="H143" s="6" t="n"/>
      <c r="I143" s="6" t="n"/>
      <c r="K143" s="6" t="n"/>
      <c r="L143" s="6" t="n"/>
      <c r="M143" s="7" t="n"/>
    </row>
    <row r="144">
      <c r="G144" s="5" t="n"/>
      <c r="H144" s="6" t="n"/>
      <c r="I144" s="6" t="n"/>
      <c r="K144" s="6" t="n"/>
      <c r="L144" s="6" t="n"/>
      <c r="M144" s="7" t="n"/>
    </row>
    <row r="145">
      <c r="G145" s="5" t="n"/>
      <c r="H145" s="6" t="n"/>
      <c r="I145" s="6" t="n"/>
      <c r="K145" s="6" t="n"/>
      <c r="L145" s="6" t="n"/>
      <c r="M145" s="7" t="n"/>
    </row>
    <row r="146">
      <c r="G146" s="5" t="n"/>
      <c r="H146" s="6" t="n"/>
      <c r="I146" s="6" t="n"/>
      <c r="K146" s="6" t="n"/>
      <c r="L146" s="6" t="n"/>
      <c r="M146" s="7" t="n"/>
    </row>
    <row r="147">
      <c r="G147" s="5" t="n"/>
      <c r="H147" s="6" t="n"/>
      <c r="I147" s="6" t="n"/>
      <c r="K147" s="6" t="n"/>
      <c r="L147" s="6" t="n"/>
      <c r="M147" s="7" t="n"/>
    </row>
    <row r="148">
      <c r="G148" s="5" t="n"/>
      <c r="H148" s="6" t="n"/>
      <c r="I148" s="6" t="n"/>
      <c r="K148" s="6" t="n"/>
      <c r="L148" s="6" t="n"/>
      <c r="M148" s="7" t="n"/>
    </row>
    <row r="149">
      <c r="G149" s="5" t="n"/>
      <c r="H149" s="6" t="n"/>
      <c r="I149" s="6" t="n"/>
      <c r="K149" s="6" t="n"/>
      <c r="L149" s="6" t="n"/>
      <c r="M149" s="7" t="n"/>
    </row>
    <row r="150">
      <c r="G150" s="5" t="n"/>
      <c r="H150" s="6" t="n"/>
      <c r="I150" s="6" t="n"/>
      <c r="K150" s="6" t="n"/>
      <c r="L150" s="6" t="n"/>
      <c r="M150" s="7" t="n"/>
    </row>
    <row r="151">
      <c r="G151" s="5" t="n"/>
      <c r="H151" s="6" t="n"/>
      <c r="I151" s="6" t="n"/>
      <c r="K151" s="6" t="n"/>
      <c r="L151" s="6" t="n"/>
      <c r="M151" s="7" t="n"/>
    </row>
    <row r="152">
      <c r="G152" s="5" t="n"/>
      <c r="H152" s="6" t="n"/>
      <c r="I152" s="6" t="n"/>
      <c r="K152" s="6" t="n"/>
      <c r="L152" s="6" t="n"/>
      <c r="M152" s="7" t="n"/>
    </row>
    <row r="153">
      <c r="G153" s="5" t="n"/>
      <c r="H153" s="6" t="n"/>
      <c r="I153" s="6" t="n"/>
      <c r="K153" s="6" t="n"/>
      <c r="L153" s="6" t="n"/>
      <c r="M153" s="7" t="n"/>
    </row>
    <row r="154">
      <c r="G154" s="5" t="n"/>
      <c r="H154" s="6" t="n"/>
      <c r="I154" s="6" t="n"/>
      <c r="K154" s="6" t="n"/>
      <c r="L154" s="6" t="n"/>
      <c r="M154" s="7" t="n"/>
    </row>
    <row r="155">
      <c r="G155" s="5" t="n"/>
      <c r="H155" s="6" t="n"/>
      <c r="I155" s="6" t="n"/>
      <c r="K155" s="6" t="n"/>
      <c r="L155" s="6" t="n"/>
      <c r="M155" s="7" t="n"/>
    </row>
    <row r="156">
      <c r="G156" s="5" t="n"/>
      <c r="H156" s="6" t="n"/>
      <c r="I156" s="6" t="n"/>
      <c r="K156" s="6" t="n"/>
      <c r="L156" s="6" t="n"/>
      <c r="M156" s="7" t="n"/>
    </row>
    <row r="157">
      <c r="G157" s="5" t="n"/>
      <c r="H157" s="6" t="n"/>
      <c r="I157" s="6" t="n"/>
      <c r="K157" s="6" t="n"/>
      <c r="L157" s="6" t="n"/>
      <c r="M157" s="7" t="n"/>
    </row>
    <row r="158">
      <c r="G158" s="5" t="n"/>
      <c r="H158" s="6" t="n"/>
      <c r="I158" s="6" t="n"/>
      <c r="K158" s="6" t="n"/>
      <c r="L158" s="6" t="n"/>
      <c r="M158" s="7" t="n"/>
    </row>
    <row r="159">
      <c r="G159" s="5" t="n"/>
      <c r="H159" s="6" t="n"/>
      <c r="I159" s="6" t="n"/>
      <c r="K159" s="6" t="n"/>
      <c r="L159" s="6" t="n"/>
      <c r="M159" s="7" t="n"/>
    </row>
    <row r="160">
      <c r="G160" s="5" t="n"/>
      <c r="H160" s="6" t="n"/>
      <c r="I160" s="6" t="n"/>
      <c r="K160" s="6" t="n"/>
      <c r="L160" s="6" t="n"/>
      <c r="M160" s="7" t="n"/>
    </row>
    <row r="161">
      <c r="G161" s="5" t="n"/>
      <c r="H161" s="6" t="n"/>
      <c r="I161" s="6" t="n"/>
      <c r="K161" s="6" t="n"/>
      <c r="L161" s="6" t="n"/>
      <c r="M161" s="7" t="n"/>
    </row>
    <row r="162">
      <c r="G162" s="5" t="n"/>
      <c r="H162" s="6" t="n"/>
      <c r="I162" s="6" t="n"/>
      <c r="K162" s="6" t="n"/>
      <c r="L162" s="6" t="n"/>
      <c r="M162" s="7" t="n"/>
    </row>
    <row r="163">
      <c r="G163" s="5" t="n"/>
      <c r="H163" s="6" t="n"/>
      <c r="I163" s="6" t="n"/>
      <c r="K163" s="6" t="n"/>
      <c r="L163" s="6" t="n"/>
      <c r="M163" s="7" t="n"/>
    </row>
    <row r="164">
      <c r="G164" s="5" t="n"/>
      <c r="H164" s="6" t="n"/>
      <c r="I164" s="6" t="n"/>
      <c r="K164" s="6" t="n"/>
      <c r="L164" s="6" t="n"/>
      <c r="M164" s="7" t="n"/>
    </row>
    <row r="165">
      <c r="G165" s="5" t="n"/>
      <c r="H165" s="6" t="n"/>
      <c r="I165" s="6" t="n"/>
      <c r="K165" s="6" t="n"/>
      <c r="L165" s="6" t="n"/>
      <c r="M165" s="7" t="n"/>
    </row>
    <row r="166">
      <c r="G166" s="5" t="n"/>
      <c r="H166" s="6" t="n"/>
      <c r="I166" s="6" t="n"/>
      <c r="K166" s="6" t="n"/>
      <c r="L166" s="6" t="n"/>
      <c r="M166" s="7" t="n"/>
    </row>
    <row r="167">
      <c r="G167" s="5" t="n"/>
      <c r="H167" s="6" t="n"/>
      <c r="I167" s="6" t="n"/>
      <c r="K167" s="6" t="n"/>
      <c r="L167" s="6" t="n"/>
      <c r="M167" s="7" t="n"/>
    </row>
    <row r="168">
      <c r="G168" s="5" t="n"/>
      <c r="H168" s="6" t="n"/>
      <c r="I168" s="6" t="n"/>
      <c r="K168" s="6" t="n"/>
      <c r="L168" s="6" t="n"/>
      <c r="M168" s="7" t="n"/>
    </row>
    <row r="169">
      <c r="G169" s="5" t="n"/>
      <c r="H169" s="6" t="n"/>
      <c r="I169" s="6" t="n"/>
      <c r="K169" s="6" t="n"/>
      <c r="L169" s="6" t="n"/>
      <c r="M169" s="7" t="n"/>
    </row>
    <row r="170">
      <c r="G170" s="5" t="n"/>
      <c r="H170" s="6" t="n"/>
      <c r="I170" s="6" t="n"/>
      <c r="K170" s="6" t="n"/>
      <c r="L170" s="6" t="n"/>
      <c r="M170" s="7" t="n"/>
    </row>
    <row r="171">
      <c r="G171" s="5" t="n"/>
      <c r="H171" s="6" t="n"/>
      <c r="I171" s="6" t="n"/>
      <c r="K171" s="6" t="n"/>
      <c r="L171" s="6" t="n"/>
      <c r="M171" s="7" t="n"/>
    </row>
    <row r="172">
      <c r="G172" s="5" t="n"/>
      <c r="H172" s="6" t="n"/>
      <c r="I172" s="6" t="n"/>
      <c r="K172" s="6" t="n"/>
      <c r="L172" s="6" t="n"/>
      <c r="M172" s="7" t="n"/>
    </row>
    <row r="173">
      <c r="G173" s="5" t="n"/>
      <c r="H173" s="6" t="n"/>
      <c r="I173" s="6" t="n"/>
      <c r="K173" s="6" t="n"/>
      <c r="L173" s="6" t="n"/>
      <c r="M173" s="7" t="n"/>
    </row>
    <row r="174">
      <c r="G174" s="5" t="n"/>
      <c r="H174" s="6" t="n"/>
      <c r="I174" s="6" t="n"/>
      <c r="K174" s="6" t="n"/>
      <c r="L174" s="6" t="n"/>
      <c r="M174" s="7" t="n"/>
    </row>
    <row r="175">
      <c r="G175" s="5" t="n"/>
      <c r="H175" s="6" t="n"/>
      <c r="I175" s="6" t="n"/>
      <c r="K175" s="6" t="n"/>
      <c r="L175" s="6" t="n"/>
      <c r="M175" s="7" t="n"/>
    </row>
    <row r="176">
      <c r="G176" s="5" t="n"/>
      <c r="H176" s="6" t="n"/>
      <c r="I176" s="6" t="n"/>
      <c r="K176" s="6" t="n"/>
      <c r="L176" s="6" t="n"/>
      <c r="M176" s="7" t="n"/>
    </row>
    <row r="177">
      <c r="G177" s="5" t="n"/>
      <c r="H177" s="6" t="n"/>
      <c r="I177" s="6" t="n"/>
      <c r="K177" s="6" t="n"/>
      <c r="L177" s="6" t="n"/>
      <c r="M177" s="7" t="n"/>
    </row>
    <row r="178">
      <c r="G178" s="5" t="n"/>
      <c r="H178" s="6" t="n"/>
      <c r="I178" s="6" t="n"/>
      <c r="K178" s="6" t="n"/>
      <c r="L178" s="6" t="n"/>
      <c r="M178" s="7" t="n"/>
    </row>
    <row r="179">
      <c r="G179" s="5" t="n"/>
      <c r="H179" s="6" t="n"/>
      <c r="I179" s="6" t="n"/>
      <c r="K179" s="6" t="n"/>
      <c r="L179" s="6" t="n"/>
      <c r="M179" s="7" t="n"/>
    </row>
    <row r="180">
      <c r="G180" s="5" t="n"/>
      <c r="H180" s="6" t="n"/>
      <c r="I180" s="6" t="n"/>
      <c r="K180" s="6" t="n"/>
      <c r="L180" s="6" t="n"/>
      <c r="M180" s="7" t="n"/>
    </row>
    <row r="181">
      <c r="G181" s="5" t="n"/>
      <c r="H181" s="6" t="n"/>
      <c r="I181" s="6" t="n"/>
      <c r="K181" s="6" t="n"/>
      <c r="L181" s="6" t="n"/>
      <c r="M181" s="7" t="n"/>
    </row>
    <row r="182">
      <c r="G182" s="5" t="n"/>
      <c r="H182" s="6" t="n"/>
      <c r="I182" s="6" t="n"/>
      <c r="K182" s="6" t="n"/>
      <c r="L182" s="6" t="n"/>
      <c r="M182" s="7" t="n"/>
    </row>
    <row r="183">
      <c r="G183" s="5" t="n"/>
      <c r="H183" s="6" t="n"/>
      <c r="I183" s="6" t="n"/>
      <c r="K183" s="6" t="n"/>
      <c r="L183" s="6" t="n"/>
      <c r="M183" s="7" t="n"/>
    </row>
    <row r="184">
      <c r="G184" s="5" t="n"/>
      <c r="H184" s="6" t="n"/>
      <c r="I184" s="6" t="n"/>
      <c r="K184" s="6" t="n"/>
      <c r="L184" s="6" t="n"/>
      <c r="M184" s="7" t="n"/>
    </row>
    <row r="185">
      <c r="G185" s="5" t="n"/>
      <c r="H185" s="6" t="n"/>
      <c r="I185" s="6" t="n"/>
      <c r="K185" s="6" t="n"/>
      <c r="L185" s="6" t="n"/>
      <c r="M185" s="7" t="n"/>
    </row>
    <row r="186">
      <c r="G186" s="5" t="n"/>
      <c r="H186" s="6" t="n"/>
      <c r="I186" s="6" t="n"/>
      <c r="K186" s="6" t="n"/>
      <c r="L186" s="6" t="n"/>
      <c r="M186" s="7" t="n"/>
    </row>
    <row r="187">
      <c r="G187" s="5" t="n"/>
      <c r="H187" s="6" t="n"/>
      <c r="I187" s="6" t="n"/>
      <c r="K187" s="6" t="n"/>
      <c r="L187" s="6" t="n"/>
      <c r="M187" s="7" t="n"/>
    </row>
    <row r="188">
      <c r="G188" s="5" t="n"/>
      <c r="H188" s="6" t="n"/>
      <c r="I188" s="6" t="n"/>
      <c r="K188" s="6" t="n"/>
      <c r="L188" s="6" t="n"/>
      <c r="M188" s="7" t="n"/>
    </row>
    <row r="189">
      <c r="G189" s="5" t="n"/>
      <c r="H189" s="6" t="n"/>
      <c r="I189" s="6" t="n"/>
      <c r="K189" s="6" t="n"/>
      <c r="L189" s="6" t="n"/>
      <c r="M189" s="7" t="n"/>
    </row>
    <row r="190">
      <c r="G190" s="5" t="n"/>
      <c r="H190" s="6" t="n"/>
      <c r="I190" s="6" t="n"/>
      <c r="K190" s="6" t="n"/>
      <c r="L190" s="6" t="n"/>
      <c r="M190" s="7" t="n"/>
    </row>
    <row r="191">
      <c r="G191" s="5" t="n"/>
      <c r="H191" s="6" t="n"/>
      <c r="I191" s="6" t="n"/>
      <c r="K191" s="6" t="n"/>
      <c r="L191" s="6" t="n"/>
      <c r="M191" s="7" t="n"/>
    </row>
    <row r="192">
      <c r="G192" s="5" t="n"/>
      <c r="H192" s="6" t="n"/>
      <c r="I192" s="6" t="n"/>
      <c r="K192" s="6" t="n"/>
      <c r="L192" s="6" t="n"/>
      <c r="M192" s="7" t="n"/>
    </row>
    <row r="193">
      <c r="G193" s="5" t="n"/>
      <c r="H193" s="6" t="n"/>
      <c r="I193" s="6" t="n"/>
      <c r="K193" s="6" t="n"/>
      <c r="L193" s="6" t="n"/>
      <c r="M193" s="7" t="n"/>
    </row>
    <row r="194">
      <c r="G194" s="5" t="n"/>
      <c r="H194" s="6" t="n"/>
      <c r="I194" s="6" t="n"/>
      <c r="K194" s="6" t="n"/>
      <c r="L194" s="6" t="n"/>
      <c r="M194" s="7" t="n"/>
    </row>
    <row r="195">
      <c r="G195" s="5" t="n"/>
      <c r="H195" s="6" t="n"/>
      <c r="I195" s="6" t="n"/>
      <c r="K195" s="6" t="n"/>
      <c r="L195" s="6" t="n"/>
      <c r="M195" s="7" t="n"/>
    </row>
    <row r="196">
      <c r="G196" s="5" t="n"/>
      <c r="H196" s="6" t="n"/>
      <c r="I196" s="6" t="n"/>
      <c r="K196" s="6" t="n"/>
      <c r="L196" s="6" t="n"/>
      <c r="M196" s="7" t="n"/>
    </row>
    <row r="197">
      <c r="G197" s="5" t="n"/>
      <c r="H197" s="6" t="n"/>
      <c r="I197" s="6" t="n"/>
      <c r="K197" s="6" t="n"/>
      <c r="L197" s="6" t="n"/>
      <c r="M197" s="7" t="n"/>
    </row>
    <row r="198">
      <c r="G198" s="5" t="n"/>
      <c r="H198" s="6" t="n"/>
      <c r="I198" s="6" t="n"/>
      <c r="K198" s="6" t="n"/>
      <c r="L198" s="6" t="n"/>
      <c r="M198" s="7" t="n"/>
    </row>
    <row r="199">
      <c r="G199" s="5" t="n"/>
      <c r="H199" s="6" t="n"/>
      <c r="I199" s="6" t="n"/>
      <c r="K199" s="6" t="n"/>
      <c r="L199" s="6" t="n"/>
      <c r="M199" s="7" t="n"/>
    </row>
    <row r="200">
      <c r="G200" s="5" t="n"/>
      <c r="H200" s="6" t="n"/>
      <c r="I200" s="6" t="n"/>
      <c r="K200" s="6" t="n"/>
      <c r="L200" s="6" t="n"/>
      <c r="M200" s="7" t="n"/>
    </row>
    <row r="201">
      <c r="G201" s="5" t="n"/>
      <c r="H201" s="6" t="n"/>
      <c r="I201" s="6" t="n"/>
      <c r="K201" s="6" t="n"/>
      <c r="L201" s="6" t="n"/>
      <c r="M201" s="7" t="n"/>
    </row>
    <row r="202">
      <c r="G202" s="5" t="n"/>
      <c r="H202" s="6" t="n"/>
      <c r="I202" s="6" t="n"/>
      <c r="K202" s="6" t="n"/>
      <c r="L202" s="6" t="n"/>
      <c r="M202" s="7" t="n"/>
    </row>
    <row r="203">
      <c r="G203" s="5" t="n"/>
      <c r="H203" s="6" t="n"/>
      <c r="I203" s="6" t="n"/>
      <c r="K203" s="6" t="n"/>
      <c r="L203" s="6" t="n"/>
      <c r="M203" s="7" t="n"/>
    </row>
    <row r="204">
      <c r="G204" s="5" t="n"/>
      <c r="H204" s="6" t="n"/>
      <c r="I204" s="6" t="n"/>
      <c r="K204" s="6" t="n"/>
      <c r="L204" s="6" t="n"/>
      <c r="M204" s="7" t="n"/>
    </row>
    <row r="205">
      <c r="G205" s="5" t="n"/>
      <c r="H205" s="6" t="n"/>
      <c r="I205" s="6" t="n"/>
      <c r="K205" s="6" t="n"/>
      <c r="L205" s="6" t="n"/>
      <c r="M205" s="7" t="n"/>
    </row>
    <row r="206">
      <c r="G206" s="5" t="n"/>
      <c r="H206" s="6" t="n"/>
      <c r="I206" s="6" t="n"/>
      <c r="K206" s="6" t="n"/>
      <c r="L206" s="6" t="n"/>
      <c r="M206" s="7" t="n"/>
    </row>
    <row r="207">
      <c r="G207" s="5" t="n"/>
      <c r="H207" s="6" t="n"/>
      <c r="I207" s="6" t="n"/>
      <c r="K207" s="6" t="n"/>
      <c r="L207" s="6" t="n"/>
      <c r="M207" s="7" t="n"/>
    </row>
    <row r="208">
      <c r="G208" s="5" t="n"/>
      <c r="H208" s="6" t="n"/>
      <c r="I208" s="6" t="n"/>
      <c r="K208" s="6" t="n"/>
      <c r="L208" s="6" t="n"/>
      <c r="M208" s="7" t="n"/>
    </row>
    <row r="209">
      <c r="G209" s="5" t="n"/>
      <c r="H209" s="6" t="n"/>
      <c r="I209" s="6" t="n"/>
      <c r="K209" s="6" t="n"/>
      <c r="L209" s="6" t="n"/>
      <c r="M209" s="7" t="n"/>
    </row>
    <row r="210">
      <c r="G210" s="5" t="n"/>
      <c r="H210" s="6" t="n"/>
      <c r="I210" s="6" t="n"/>
      <c r="K210" s="6" t="n"/>
      <c r="L210" s="6" t="n"/>
      <c r="M210" s="7" t="n"/>
    </row>
    <row r="211">
      <c r="G211" s="5" t="n"/>
      <c r="H211" s="6" t="n"/>
      <c r="I211" s="6" t="n"/>
      <c r="K211" s="6" t="n"/>
      <c r="L211" s="6" t="n"/>
      <c r="M211" s="7" t="n"/>
    </row>
    <row r="212">
      <c r="G212" s="5" t="n"/>
      <c r="H212" s="6" t="n"/>
      <c r="I212" s="6" t="n"/>
      <c r="K212" s="6" t="n"/>
      <c r="L212" s="6" t="n"/>
      <c r="M212" s="7" t="n"/>
    </row>
    <row r="213">
      <c r="G213" s="5" t="n"/>
      <c r="H213" s="6" t="n"/>
      <c r="I213" s="6" t="n"/>
      <c r="K213" s="6" t="n"/>
      <c r="L213" s="6" t="n"/>
      <c r="M213" s="7" t="n"/>
    </row>
    <row r="214">
      <c r="G214" s="5" t="n"/>
      <c r="H214" s="6" t="n"/>
      <c r="I214" s="6" t="n"/>
      <c r="K214" s="6" t="n"/>
      <c r="L214" s="6" t="n"/>
      <c r="M214" s="7" t="n"/>
    </row>
    <row r="215">
      <c r="G215" s="5" t="n"/>
      <c r="H215" s="6" t="n"/>
      <c r="I215" s="6" t="n"/>
      <c r="K215" s="6" t="n"/>
      <c r="L215" s="6" t="n"/>
      <c r="M215" s="7" t="n"/>
    </row>
    <row r="216">
      <c r="G216" s="5" t="n"/>
      <c r="H216" s="6" t="n"/>
      <c r="I216" s="6" t="n"/>
      <c r="K216" s="6" t="n"/>
      <c r="L216" s="6" t="n"/>
      <c r="M216" s="7" t="n"/>
    </row>
    <row r="217">
      <c r="G217" s="5" t="n"/>
      <c r="H217" s="6" t="n"/>
      <c r="I217" s="6" t="n"/>
      <c r="K217" s="6" t="n"/>
      <c r="L217" s="6" t="n"/>
      <c r="M217" s="7" t="n"/>
    </row>
    <row r="218">
      <c r="G218" s="5" t="n"/>
      <c r="H218" s="6" t="n"/>
      <c r="I218" s="6" t="n"/>
      <c r="K218" s="6" t="n"/>
      <c r="L218" s="6" t="n"/>
      <c r="M218" s="7" t="n"/>
    </row>
    <row r="219">
      <c r="G219" s="5" t="n"/>
      <c r="H219" s="6" t="n"/>
      <c r="I219" s="6" t="n"/>
      <c r="K219" s="6" t="n"/>
      <c r="L219" s="6" t="n"/>
      <c r="M219" s="7" t="n"/>
    </row>
    <row r="220">
      <c r="G220" s="5" t="n"/>
      <c r="H220" s="6" t="n"/>
      <c r="I220" s="6" t="n"/>
      <c r="K220" s="6" t="n"/>
      <c r="L220" s="6" t="n"/>
      <c r="M220" s="7" t="n"/>
    </row>
    <row r="221">
      <c r="G221" s="5" t="n"/>
      <c r="H221" s="6" t="n"/>
      <c r="I221" s="6" t="n"/>
      <c r="K221" s="6" t="n"/>
      <c r="L221" s="6" t="n"/>
      <c r="M221" s="7" t="n"/>
    </row>
    <row r="222">
      <c r="G222" s="5" t="n"/>
      <c r="H222" s="6" t="n"/>
      <c r="I222" s="6" t="n"/>
      <c r="K222" s="6" t="n"/>
      <c r="L222" s="6" t="n"/>
      <c r="M222" s="7" t="n"/>
    </row>
    <row r="223">
      <c r="G223" s="5" t="n"/>
      <c r="H223" s="6" t="n"/>
      <c r="I223" s="6" t="n"/>
      <c r="K223" s="6" t="n"/>
      <c r="L223" s="6" t="n"/>
      <c r="M223" s="7" t="n"/>
    </row>
    <row r="224">
      <c r="G224" s="5" t="n"/>
      <c r="H224" s="6" t="n"/>
      <c r="I224" s="6" t="n"/>
      <c r="K224" s="6" t="n"/>
      <c r="L224" s="6" t="n"/>
      <c r="M224" s="7" t="n"/>
    </row>
    <row r="225">
      <c r="G225" s="5" t="n"/>
      <c r="H225" s="6" t="n"/>
      <c r="I225" s="6" t="n"/>
      <c r="K225" s="6" t="n"/>
      <c r="L225" s="6" t="n"/>
      <c r="M225" s="7" t="n"/>
    </row>
    <row r="226">
      <c r="G226" s="5" t="n"/>
      <c r="H226" s="6" t="n"/>
      <c r="I226" s="6" t="n"/>
      <c r="K226" s="6" t="n"/>
      <c r="L226" s="6" t="n"/>
      <c r="M226" s="7" t="n"/>
    </row>
    <row r="227">
      <c r="G227" s="5" t="n"/>
      <c r="H227" s="6" t="n"/>
      <c r="I227" s="6" t="n"/>
      <c r="K227" s="6" t="n"/>
      <c r="L227" s="6" t="n"/>
      <c r="M227" s="7" t="n"/>
    </row>
    <row r="228">
      <c r="G228" s="5" t="n"/>
      <c r="H228" s="6" t="n"/>
      <c r="I228" s="6" t="n"/>
      <c r="K228" s="6" t="n"/>
      <c r="L228" s="6" t="n"/>
      <c r="M228" s="7" t="n"/>
    </row>
    <row r="229">
      <c r="G229" s="5" t="n"/>
      <c r="H229" s="6" t="n"/>
      <c r="I229" s="6" t="n"/>
      <c r="K229" s="6" t="n"/>
      <c r="L229" s="6" t="n"/>
      <c r="M229" s="7" t="n"/>
    </row>
    <row r="230">
      <c r="G230" s="5" t="n"/>
      <c r="H230" s="6" t="n"/>
      <c r="I230" s="6" t="n"/>
      <c r="K230" s="6" t="n"/>
      <c r="L230" s="6" t="n"/>
      <c r="M230" s="7" t="n"/>
    </row>
    <row r="231">
      <c r="G231" s="5" t="n"/>
      <c r="H231" s="6" t="n"/>
      <c r="I231" s="6" t="n"/>
      <c r="K231" s="6" t="n"/>
      <c r="L231" s="6" t="n"/>
      <c r="M231" s="7" t="n"/>
    </row>
    <row r="232">
      <c r="G232" s="5" t="n"/>
      <c r="H232" s="6" t="n"/>
      <c r="I232" s="6" t="n"/>
      <c r="K232" s="6" t="n"/>
      <c r="L232" s="6" t="n"/>
      <c r="M232" s="7" t="n"/>
    </row>
    <row r="233">
      <c r="G233" s="5" t="n"/>
      <c r="H233" s="6" t="n"/>
      <c r="I233" s="6" t="n"/>
      <c r="K233" s="6" t="n"/>
      <c r="L233" s="6" t="n"/>
      <c r="M233" s="7" t="n"/>
    </row>
    <row r="234">
      <c r="G234" s="5" t="n"/>
      <c r="H234" s="6" t="n"/>
      <c r="I234" s="6" t="n"/>
      <c r="K234" s="6" t="n"/>
      <c r="L234" s="6" t="n"/>
      <c r="M234" s="7" t="n"/>
    </row>
    <row r="235">
      <c r="G235" s="5" t="n"/>
      <c r="H235" s="6" t="n"/>
      <c r="I235" s="6" t="n"/>
      <c r="K235" s="6" t="n"/>
      <c r="L235" s="6" t="n"/>
      <c r="M235" s="7" t="n"/>
    </row>
    <row r="236">
      <c r="G236" s="5" t="n"/>
      <c r="H236" s="6" t="n"/>
      <c r="I236" s="6" t="n"/>
      <c r="K236" s="6" t="n"/>
      <c r="L236" s="6" t="n"/>
      <c r="M236" s="7" t="n"/>
    </row>
    <row r="237">
      <c r="G237" s="5" t="n"/>
      <c r="H237" s="6" t="n"/>
      <c r="I237" s="6" t="n"/>
      <c r="K237" s="6" t="n"/>
      <c r="L237" s="6" t="n"/>
      <c r="M237" s="7" t="n"/>
    </row>
    <row r="238">
      <c r="G238" s="5" t="n"/>
      <c r="H238" s="6" t="n"/>
      <c r="I238" s="6" t="n"/>
      <c r="K238" s="6" t="n"/>
      <c r="L238" s="6" t="n"/>
      <c r="M238" s="7" t="n"/>
    </row>
    <row r="239">
      <c r="G239" s="5" t="n"/>
      <c r="H239" s="6" t="n"/>
      <c r="I239" s="6" t="n"/>
      <c r="K239" s="6" t="n"/>
      <c r="L239" s="6" t="n"/>
      <c r="M239" s="7" t="n"/>
    </row>
    <row r="240">
      <c r="G240" s="5" t="n"/>
      <c r="H240" s="6" t="n"/>
      <c r="I240" s="6" t="n"/>
      <c r="K240" s="6" t="n"/>
      <c r="L240" s="6" t="n"/>
      <c r="M240" s="7" t="n"/>
    </row>
    <row r="241">
      <c r="G241" s="5" t="n"/>
      <c r="H241" s="6" t="n"/>
      <c r="I241" s="6" t="n"/>
      <c r="K241" s="6" t="n"/>
      <c r="L241" s="6" t="n"/>
      <c r="M241" s="7" t="n"/>
    </row>
    <row r="242">
      <c r="G242" s="5" t="n"/>
      <c r="H242" s="6" t="n"/>
      <c r="I242" s="6" t="n"/>
      <c r="K242" s="6" t="n"/>
      <c r="L242" s="6" t="n"/>
      <c r="M242" s="7" t="n"/>
    </row>
    <row r="243">
      <c r="G243" s="5" t="n"/>
      <c r="H243" s="6" t="n"/>
      <c r="I243" s="6" t="n"/>
      <c r="K243" s="6" t="n"/>
      <c r="L243" s="6" t="n"/>
      <c r="M243" s="7" t="n"/>
    </row>
    <row r="244">
      <c r="G244" s="5" t="n"/>
      <c r="H244" s="6" t="n"/>
      <c r="I244" s="6" t="n"/>
      <c r="K244" s="6" t="n"/>
      <c r="L244" s="6" t="n"/>
      <c r="M244" s="7" t="n"/>
    </row>
    <row r="245">
      <c r="G245" s="5" t="n"/>
      <c r="H245" s="6" t="n"/>
      <c r="I245" s="6" t="n"/>
      <c r="K245" s="6" t="n"/>
      <c r="L245" s="6" t="n"/>
      <c r="M245" s="7" t="n"/>
    </row>
    <row r="246">
      <c r="G246" s="5" t="n"/>
      <c r="H246" s="6" t="n"/>
      <c r="I246" s="6" t="n"/>
      <c r="K246" s="6" t="n"/>
      <c r="L246" s="6" t="n"/>
      <c r="M246" s="7" t="n"/>
    </row>
    <row r="247">
      <c r="G247" s="5" t="n"/>
      <c r="H247" s="6" t="n"/>
      <c r="I247" s="6" t="n"/>
      <c r="K247" s="6" t="n"/>
      <c r="L247" s="6" t="n"/>
      <c r="M247" s="7" t="n"/>
    </row>
    <row r="248">
      <c r="G248" s="5" t="n"/>
      <c r="H248" s="6" t="n"/>
      <c r="I248" s="6" t="n"/>
      <c r="K248" s="6" t="n"/>
      <c r="L248" s="6" t="n"/>
      <c r="M248" s="7" t="n"/>
    </row>
    <row r="249">
      <c r="G249" s="5" t="n"/>
      <c r="H249" s="6" t="n"/>
      <c r="I249" s="6" t="n"/>
      <c r="K249" s="6" t="n"/>
      <c r="L249" s="6" t="n"/>
      <c r="M249" s="7" t="n"/>
    </row>
    <row r="250">
      <c r="G250" s="5" t="n"/>
      <c r="H250" s="6" t="n"/>
      <c r="I250" s="6" t="n"/>
      <c r="K250" s="6" t="n"/>
      <c r="L250" s="6" t="n"/>
      <c r="M250" s="7" t="n"/>
    </row>
    <row r="251">
      <c r="G251" s="5" t="n"/>
      <c r="H251" s="6" t="n"/>
      <c r="I251" s="6" t="n"/>
      <c r="K251" s="6" t="n"/>
      <c r="L251" s="6" t="n"/>
      <c r="M251" s="7" t="n"/>
    </row>
    <row r="252">
      <c r="G252" s="5" t="n"/>
      <c r="H252" s="6" t="n"/>
      <c r="I252" s="6" t="n"/>
      <c r="K252" s="6" t="n"/>
      <c r="L252" s="6" t="n"/>
      <c r="M252" s="7" t="n"/>
    </row>
    <row r="253">
      <c r="G253" s="5" t="n"/>
      <c r="H253" s="6" t="n"/>
      <c r="I253" s="6" t="n"/>
      <c r="K253" s="6" t="n"/>
      <c r="L253" s="6" t="n"/>
      <c r="M253" s="7" t="n"/>
    </row>
    <row r="254">
      <c r="G254" s="5" t="n"/>
      <c r="H254" s="6" t="n"/>
      <c r="I254" s="6" t="n"/>
      <c r="K254" s="6" t="n"/>
      <c r="L254" s="6" t="n"/>
      <c r="M254" s="7" t="n"/>
    </row>
    <row r="255">
      <c r="G255" s="5" t="n"/>
      <c r="H255" s="6" t="n"/>
      <c r="I255" s="6" t="n"/>
      <c r="K255" s="6" t="n"/>
      <c r="L255" s="6" t="n"/>
      <c r="M255" s="7" t="n"/>
    </row>
    <row r="256">
      <c r="G256" s="5" t="n"/>
      <c r="H256" s="6" t="n"/>
      <c r="I256" s="6" t="n"/>
      <c r="K256" s="6" t="n"/>
      <c r="L256" s="6" t="n"/>
      <c r="M256" s="7" t="n"/>
    </row>
    <row r="257">
      <c r="G257" s="5" t="n"/>
      <c r="H257" s="6" t="n"/>
      <c r="I257" s="6" t="n"/>
      <c r="K257" s="6" t="n"/>
      <c r="L257" s="6" t="n"/>
      <c r="M257" s="7" t="n"/>
    </row>
    <row r="258">
      <c r="G258" s="5" t="n"/>
      <c r="H258" s="6" t="n"/>
      <c r="I258" s="6" t="n"/>
      <c r="K258" s="6" t="n"/>
      <c r="L258" s="6" t="n"/>
      <c r="M258" s="7" t="n"/>
    </row>
    <row r="259">
      <c r="G259" s="5" t="n"/>
      <c r="H259" s="6" t="n"/>
      <c r="I259" s="6" t="n"/>
      <c r="K259" s="6" t="n"/>
      <c r="L259" s="6" t="n"/>
      <c r="M259" s="7" t="n"/>
    </row>
    <row r="260">
      <c r="G260" s="5" t="n"/>
      <c r="H260" s="6" t="n"/>
      <c r="I260" s="6" t="n"/>
      <c r="K260" s="6" t="n"/>
      <c r="L260" s="6" t="n"/>
      <c r="M260" s="7" t="n"/>
    </row>
    <row r="261">
      <c r="G261" s="5" t="n"/>
      <c r="H261" s="6" t="n"/>
      <c r="I261" s="6" t="n"/>
      <c r="K261" s="6" t="n"/>
      <c r="L261" s="6" t="n"/>
      <c r="M261" s="7" t="n"/>
    </row>
    <row r="262">
      <c r="G262" s="5" t="n"/>
      <c r="H262" s="6" t="n"/>
      <c r="I262" s="6" t="n"/>
      <c r="K262" s="6" t="n"/>
      <c r="L262" s="6" t="n"/>
      <c r="M262" s="7" t="n"/>
    </row>
    <row r="263">
      <c r="G263" s="5" t="n"/>
      <c r="H263" s="6" t="n"/>
      <c r="I263" s="6" t="n"/>
      <c r="K263" s="6" t="n"/>
      <c r="L263" s="6" t="n"/>
      <c r="M263" s="7" t="n"/>
    </row>
    <row r="264">
      <c r="G264" s="5" t="n"/>
      <c r="H264" s="6" t="n"/>
      <c r="I264" s="6" t="n"/>
      <c r="K264" s="6" t="n"/>
      <c r="L264" s="6" t="n"/>
      <c r="M264" s="7" t="n"/>
    </row>
    <row r="265">
      <c r="G265" s="5" t="n"/>
      <c r="H265" s="6" t="n"/>
      <c r="I265" s="6" t="n"/>
      <c r="K265" s="6" t="n"/>
      <c r="L265" s="6" t="n"/>
      <c r="M265" s="7" t="n"/>
    </row>
    <row r="266">
      <c r="G266" s="5" t="n"/>
      <c r="H266" s="6" t="n"/>
      <c r="I266" s="6" t="n"/>
      <c r="K266" s="6" t="n"/>
      <c r="L266" s="6" t="n"/>
      <c r="M266" s="7" t="n"/>
    </row>
    <row r="267">
      <c r="G267" s="5" t="n"/>
      <c r="H267" s="6" t="n"/>
      <c r="I267" s="6" t="n"/>
      <c r="K267" s="6" t="n"/>
      <c r="L267" s="6" t="n"/>
      <c r="M267" s="7" t="n"/>
    </row>
    <row r="268">
      <c r="G268" s="5" t="n"/>
      <c r="H268" s="6" t="n"/>
      <c r="I268" s="6" t="n"/>
      <c r="K268" s="6" t="n"/>
      <c r="L268" s="6" t="n"/>
      <c r="M268" s="7" t="n"/>
    </row>
    <row r="269">
      <c r="G269" s="5" t="n"/>
      <c r="H269" s="6" t="n"/>
      <c r="I269" s="6" t="n"/>
      <c r="K269" s="6" t="n"/>
      <c r="L269" s="6" t="n"/>
      <c r="M269" s="7" t="n"/>
    </row>
    <row r="270">
      <c r="G270" s="5" t="n"/>
      <c r="H270" s="6" t="n"/>
      <c r="I270" s="6" t="n"/>
      <c r="K270" s="6" t="n"/>
      <c r="L270" s="6" t="n"/>
      <c r="M270" s="7" t="n"/>
    </row>
    <row r="271">
      <c r="G271" s="5" t="n"/>
      <c r="H271" s="6" t="n"/>
      <c r="I271" s="6" t="n"/>
      <c r="K271" s="6" t="n"/>
      <c r="L271" s="6" t="n"/>
      <c r="M271" s="7" t="n"/>
    </row>
    <row r="272">
      <c r="G272" s="5" t="n"/>
      <c r="H272" s="6" t="n"/>
      <c r="I272" s="6" t="n"/>
      <c r="K272" s="6" t="n"/>
      <c r="L272" s="6" t="n"/>
      <c r="M272" s="7" t="n"/>
    </row>
    <row r="273">
      <c r="G273" s="5" t="n"/>
      <c r="H273" s="6" t="n"/>
      <c r="I273" s="6" t="n"/>
      <c r="K273" s="6" t="n"/>
      <c r="L273" s="6" t="n"/>
      <c r="M273" s="7" t="n"/>
    </row>
    <row r="274">
      <c r="G274" s="5" t="n"/>
      <c r="H274" s="6" t="n"/>
      <c r="I274" s="6" t="n"/>
      <c r="K274" s="6" t="n"/>
      <c r="L274" s="6" t="n"/>
      <c r="M274" s="7" t="n"/>
    </row>
    <row r="275">
      <c r="G275" s="5" t="n"/>
      <c r="H275" s="6" t="n"/>
      <c r="I275" s="6" t="n"/>
      <c r="K275" s="6" t="n"/>
      <c r="L275" s="6" t="n"/>
      <c r="M275" s="7" t="n"/>
    </row>
    <row r="276">
      <c r="G276" s="5" t="n"/>
      <c r="H276" s="6" t="n"/>
      <c r="I276" s="6" t="n"/>
      <c r="K276" s="6" t="n"/>
      <c r="L276" s="6" t="n"/>
      <c r="M276" s="7" t="n"/>
    </row>
    <row r="277">
      <c r="G277" s="5" t="n"/>
      <c r="H277" s="6" t="n"/>
      <c r="I277" s="6" t="n"/>
      <c r="K277" s="6" t="n"/>
      <c r="L277" s="6" t="n"/>
      <c r="M277" s="7" t="n"/>
    </row>
    <row r="278">
      <c r="G278" s="5" t="n"/>
      <c r="H278" s="6" t="n"/>
      <c r="I278" s="6" t="n"/>
      <c r="K278" s="6" t="n"/>
      <c r="L278" s="6" t="n"/>
      <c r="M278" s="7" t="n"/>
    </row>
    <row r="279">
      <c r="G279" s="5" t="n"/>
      <c r="H279" s="6" t="n"/>
      <c r="I279" s="6" t="n"/>
      <c r="K279" s="6" t="n"/>
      <c r="L279" s="6" t="n"/>
      <c r="M279" s="7" t="n"/>
    </row>
    <row r="280">
      <c r="G280" s="5" t="n"/>
      <c r="H280" s="6" t="n"/>
      <c r="I280" s="6" t="n"/>
      <c r="K280" s="6" t="n"/>
      <c r="L280" s="6" t="n"/>
      <c r="M280" s="7" t="n"/>
    </row>
    <row r="281">
      <c r="G281" s="5" t="n"/>
      <c r="H281" s="6" t="n"/>
      <c r="I281" s="6" t="n"/>
      <c r="K281" s="6" t="n"/>
      <c r="L281" s="6" t="n"/>
      <c r="M281" s="7" t="n"/>
    </row>
    <row r="282">
      <c r="G282" s="5" t="n"/>
      <c r="H282" s="6" t="n"/>
      <c r="I282" s="6" t="n"/>
      <c r="K282" s="6" t="n"/>
      <c r="L282" s="6" t="n"/>
      <c r="M282" s="7" t="n"/>
    </row>
    <row r="283">
      <c r="G283" s="5" t="n"/>
      <c r="H283" s="6" t="n"/>
      <c r="I283" s="6" t="n"/>
      <c r="K283" s="6" t="n"/>
      <c r="L283" s="6" t="n"/>
      <c r="M283" s="7" t="n"/>
    </row>
    <row r="284">
      <c r="G284" s="5" t="n"/>
      <c r="H284" s="6" t="n"/>
      <c r="I284" s="6" t="n"/>
      <c r="K284" s="6" t="n"/>
      <c r="L284" s="6" t="n"/>
      <c r="M284" s="7" t="n"/>
    </row>
    <row r="285">
      <c r="G285" s="5" t="n"/>
      <c r="H285" s="6" t="n"/>
      <c r="I285" s="6" t="n"/>
      <c r="K285" s="6" t="n"/>
      <c r="L285" s="6" t="n"/>
      <c r="M285" s="7" t="n"/>
    </row>
    <row r="286">
      <c r="G286" s="5" t="n"/>
      <c r="H286" s="6" t="n"/>
      <c r="I286" s="6" t="n"/>
      <c r="K286" s="6" t="n"/>
      <c r="L286" s="6" t="n"/>
      <c r="M286" s="7" t="n"/>
    </row>
    <row r="287">
      <c r="G287" s="5" t="n"/>
      <c r="H287" s="6" t="n"/>
      <c r="I287" s="6" t="n"/>
      <c r="K287" s="6" t="n"/>
      <c r="L287" s="6" t="n"/>
      <c r="M287" s="7" t="n"/>
    </row>
    <row r="288">
      <c r="G288" s="5" t="n"/>
      <c r="H288" s="6" t="n"/>
      <c r="I288" s="6" t="n"/>
      <c r="K288" s="6" t="n"/>
      <c r="L288" s="6" t="n"/>
      <c r="M288" s="7" t="n"/>
    </row>
    <row r="289">
      <c r="G289" s="5" t="n"/>
      <c r="H289" s="6" t="n"/>
      <c r="I289" s="6" t="n"/>
      <c r="K289" s="6" t="n"/>
      <c r="L289" s="6" t="n"/>
      <c r="M289" s="7" t="n"/>
    </row>
    <row r="290">
      <c r="G290" s="5" t="n"/>
      <c r="H290" s="6" t="n"/>
      <c r="I290" s="6" t="n"/>
      <c r="K290" s="6" t="n"/>
      <c r="L290" s="6" t="n"/>
      <c r="M290" s="7" t="n"/>
    </row>
    <row r="291">
      <c r="G291" s="5" t="n"/>
      <c r="H291" s="6" t="n"/>
      <c r="I291" s="6" t="n"/>
      <c r="K291" s="6" t="n"/>
      <c r="L291" s="6" t="n"/>
      <c r="M291" s="7" t="n"/>
    </row>
    <row r="292">
      <c r="G292" s="5" t="n"/>
      <c r="H292" s="6" t="n"/>
      <c r="I292" s="6" t="n"/>
      <c r="K292" s="6" t="n"/>
      <c r="L292" s="6" t="n"/>
      <c r="M292" s="7" t="n"/>
    </row>
    <row r="293">
      <c r="G293" s="5" t="n"/>
      <c r="H293" s="6" t="n"/>
      <c r="I293" s="6" t="n"/>
      <c r="K293" s="6" t="n"/>
      <c r="L293" s="6" t="n"/>
      <c r="M293" s="7" t="n"/>
    </row>
    <row r="294">
      <c r="G294" s="5" t="n"/>
      <c r="H294" s="6" t="n"/>
      <c r="I294" s="6" t="n"/>
      <c r="K294" s="6" t="n"/>
      <c r="L294" s="6" t="n"/>
      <c r="M294" s="7" t="n"/>
    </row>
    <row r="295">
      <c r="G295" s="5" t="n"/>
      <c r="H295" s="6" t="n"/>
      <c r="I295" s="6" t="n"/>
      <c r="K295" s="6" t="n"/>
      <c r="L295" s="6" t="n"/>
      <c r="M295" s="7" t="n"/>
    </row>
    <row r="296">
      <c r="G296" s="5" t="n"/>
      <c r="H296" s="6" t="n"/>
      <c r="I296" s="6" t="n"/>
      <c r="K296" s="6" t="n"/>
      <c r="L296" s="6" t="n"/>
      <c r="M296" s="7" t="n"/>
    </row>
    <row r="297">
      <c r="G297" s="5" t="n"/>
      <c r="H297" s="6" t="n"/>
      <c r="I297" s="6" t="n"/>
      <c r="K297" s="6" t="n"/>
      <c r="L297" s="6" t="n"/>
      <c r="M297" s="7" t="n"/>
    </row>
    <row r="298">
      <c r="G298" s="5" t="n"/>
      <c r="H298" s="6" t="n"/>
      <c r="I298" s="6" t="n"/>
      <c r="K298" s="6" t="n"/>
      <c r="L298" s="6" t="n"/>
      <c r="M298" s="7" t="n"/>
    </row>
    <row r="299">
      <c r="G299" s="5" t="n"/>
      <c r="H299" s="6" t="n"/>
      <c r="I299" s="6" t="n"/>
      <c r="K299" s="6" t="n"/>
      <c r="L299" s="6" t="n"/>
      <c r="M299" s="7" t="n"/>
    </row>
    <row r="300">
      <c r="G300" s="5" t="n"/>
      <c r="H300" s="6" t="n"/>
      <c r="I300" s="6" t="n"/>
      <c r="K300" s="6" t="n"/>
      <c r="L300" s="6" t="n"/>
      <c r="M300" s="7" t="n"/>
    </row>
    <row r="301">
      <c r="G301" s="5" t="n"/>
      <c r="H301" s="6" t="n"/>
      <c r="I301" s="6" t="n"/>
      <c r="K301" s="6" t="n"/>
      <c r="L301" s="6" t="n"/>
      <c r="M301" s="7" t="n"/>
    </row>
    <row r="302">
      <c r="G302" s="5" t="n"/>
      <c r="H302" s="6" t="n"/>
      <c r="I302" s="6" t="n"/>
      <c r="K302" s="6" t="n"/>
      <c r="L302" s="6" t="n"/>
      <c r="M302" s="7" t="n"/>
    </row>
    <row r="303">
      <c r="G303" s="5" t="n"/>
      <c r="H303" s="6" t="n"/>
      <c r="I303" s="6" t="n"/>
      <c r="K303" s="6" t="n"/>
      <c r="L303" s="6" t="n"/>
      <c r="M303" s="7" t="n"/>
    </row>
    <row r="304">
      <c r="G304" s="5" t="n"/>
      <c r="H304" s="6" t="n"/>
      <c r="I304" s="6" t="n"/>
      <c r="K304" s="6" t="n"/>
      <c r="L304" s="6" t="n"/>
      <c r="M304" s="7" t="n"/>
    </row>
    <row r="305">
      <c r="G305" s="5" t="n"/>
      <c r="H305" s="6" t="n"/>
      <c r="I305" s="6" t="n"/>
      <c r="K305" s="6" t="n"/>
      <c r="L305" s="6" t="n"/>
      <c r="M305" s="7" t="n"/>
    </row>
    <row r="306">
      <c r="G306" s="5" t="n"/>
      <c r="H306" s="6" t="n"/>
      <c r="I306" s="6" t="n"/>
      <c r="K306" s="6" t="n"/>
      <c r="L306" s="6" t="n"/>
      <c r="M306" s="7" t="n"/>
    </row>
    <row r="307">
      <c r="G307" s="5" t="n"/>
      <c r="H307" s="6" t="n"/>
      <c r="I307" s="6" t="n"/>
      <c r="K307" s="6" t="n"/>
      <c r="L307" s="6" t="n"/>
      <c r="M307" s="7" t="n"/>
    </row>
    <row r="308">
      <c r="G308" s="5" t="n"/>
      <c r="H308" s="6" t="n"/>
      <c r="I308" s="6" t="n"/>
      <c r="K308" s="6" t="n"/>
      <c r="L308" s="6" t="n"/>
      <c r="M308" s="7" t="n"/>
    </row>
    <row r="309">
      <c r="G309" s="5" t="n"/>
      <c r="H309" s="6" t="n"/>
      <c r="I309" s="6" t="n"/>
      <c r="K309" s="6" t="n"/>
      <c r="L309" s="6" t="n"/>
      <c r="M309" s="7" t="n"/>
    </row>
    <row r="310">
      <c r="G310" s="5" t="n"/>
      <c r="H310" s="6" t="n"/>
      <c r="I310" s="6" t="n"/>
      <c r="K310" s="6" t="n"/>
      <c r="L310" s="6" t="n"/>
      <c r="M310" s="7" t="n"/>
    </row>
    <row r="311">
      <c r="G311" s="5" t="n"/>
      <c r="H311" s="6" t="n"/>
      <c r="I311" s="6" t="n"/>
      <c r="K311" s="6" t="n"/>
      <c r="L311" s="6" t="n"/>
      <c r="M311" s="7" t="n"/>
    </row>
    <row r="312">
      <c r="G312" s="5" t="n"/>
      <c r="H312" s="6" t="n"/>
      <c r="I312" s="6" t="n"/>
      <c r="K312" s="6" t="n"/>
      <c r="L312" s="6" t="n"/>
      <c r="M312" s="7" t="n"/>
    </row>
    <row r="313">
      <c r="G313" s="5" t="n"/>
      <c r="H313" s="6" t="n"/>
      <c r="I313" s="6" t="n"/>
      <c r="K313" s="6" t="n"/>
      <c r="L313" s="6" t="n"/>
      <c r="M313" s="7" t="n"/>
    </row>
    <row r="314">
      <c r="G314" s="5" t="n"/>
      <c r="H314" s="6" t="n"/>
      <c r="I314" s="6" t="n"/>
      <c r="K314" s="6" t="n"/>
      <c r="L314" s="6" t="n"/>
      <c r="M314" s="7" t="n"/>
    </row>
    <row r="315">
      <c r="G315" s="5" t="n"/>
      <c r="H315" s="6" t="n"/>
      <c r="I315" s="6" t="n"/>
      <c r="K315" s="6" t="n"/>
      <c r="L315" s="6" t="n"/>
      <c r="M315" s="7" t="n"/>
    </row>
    <row r="316">
      <c r="G316" s="5" t="n"/>
      <c r="H316" s="6" t="n"/>
      <c r="I316" s="6" t="n"/>
      <c r="K316" s="6" t="n"/>
      <c r="L316" s="6" t="n"/>
      <c r="M316" s="7" t="n"/>
    </row>
    <row r="317">
      <c r="G317" s="5" t="n"/>
      <c r="H317" s="6" t="n"/>
      <c r="I317" s="6" t="n"/>
      <c r="K317" s="6" t="n"/>
      <c r="L317" s="6" t="n"/>
      <c r="M317" s="7" t="n"/>
    </row>
    <row r="318">
      <c r="G318" s="5" t="n"/>
      <c r="H318" s="6" t="n"/>
      <c r="I318" s="6" t="n"/>
      <c r="K318" s="6" t="n"/>
      <c r="L318" s="6" t="n"/>
      <c r="M318" s="7" t="n"/>
    </row>
    <row r="319">
      <c r="G319" s="5" t="n"/>
      <c r="H319" s="6" t="n"/>
      <c r="I319" s="6" t="n"/>
      <c r="K319" s="6" t="n"/>
      <c r="L319" s="6" t="n"/>
      <c r="M319" s="7" t="n"/>
    </row>
    <row r="320">
      <c r="G320" s="5" t="n"/>
      <c r="H320" s="6" t="n"/>
      <c r="I320" s="6" t="n"/>
      <c r="K320" s="6" t="n"/>
      <c r="L320" s="6" t="n"/>
      <c r="M320" s="7" t="n"/>
    </row>
    <row r="321">
      <c r="G321" s="5" t="n"/>
      <c r="H321" s="6" t="n"/>
      <c r="I321" s="6" t="n"/>
      <c r="K321" s="6" t="n"/>
      <c r="L321" s="6" t="n"/>
      <c r="M321" s="7" t="n"/>
    </row>
    <row r="322">
      <c r="G322" s="5" t="n"/>
      <c r="H322" s="6" t="n"/>
      <c r="I322" s="6" t="n"/>
      <c r="K322" s="6" t="n"/>
      <c r="L322" s="6" t="n"/>
      <c r="M322" s="7" t="n"/>
    </row>
    <row r="323">
      <c r="G323" s="5" t="n"/>
      <c r="H323" s="6" t="n"/>
      <c r="I323" s="6" t="n"/>
      <c r="K323" s="6" t="n"/>
      <c r="L323" s="6" t="n"/>
      <c r="M323" s="7" t="n"/>
    </row>
    <row r="324">
      <c r="G324" s="5" t="n"/>
      <c r="H324" s="6" t="n"/>
      <c r="I324" s="6" t="n"/>
      <c r="K324" s="6" t="n"/>
      <c r="L324" s="6" t="n"/>
      <c r="M324" s="7" t="n"/>
    </row>
    <row r="325">
      <c r="G325" s="5" t="n"/>
      <c r="H325" s="6" t="n"/>
      <c r="I325" s="6" t="n"/>
      <c r="K325" s="6" t="n"/>
      <c r="L325" s="6" t="n"/>
      <c r="M325" s="7" t="n"/>
    </row>
    <row r="326">
      <c r="G326" s="5" t="n"/>
      <c r="H326" s="6" t="n"/>
      <c r="I326" s="6" t="n"/>
      <c r="K326" s="6" t="n"/>
      <c r="L326" s="6" t="n"/>
      <c r="M326" s="7" t="n"/>
    </row>
    <row r="327">
      <c r="G327" s="5" t="n"/>
      <c r="H327" s="6" t="n"/>
      <c r="I327" s="6" t="n"/>
      <c r="K327" s="6" t="n"/>
      <c r="L327" s="6" t="n"/>
      <c r="M327" s="7" t="n"/>
    </row>
    <row r="328">
      <c r="G328" s="5" t="n"/>
      <c r="H328" s="6" t="n"/>
      <c r="I328" s="6" t="n"/>
      <c r="K328" s="6" t="n"/>
      <c r="L328" s="6" t="n"/>
      <c r="M328" s="7" t="n"/>
    </row>
    <row r="329">
      <c r="G329" s="5" t="n"/>
      <c r="H329" s="6" t="n"/>
      <c r="I329" s="6" t="n"/>
      <c r="K329" s="6" t="n"/>
      <c r="L329" s="6" t="n"/>
      <c r="M329" s="7" t="n"/>
    </row>
    <row r="330">
      <c r="G330" s="5" t="n"/>
      <c r="H330" s="6" t="n"/>
      <c r="I330" s="6" t="n"/>
      <c r="K330" s="6" t="n"/>
      <c r="L330" s="6" t="n"/>
      <c r="M330" s="7" t="n"/>
    </row>
    <row r="331">
      <c r="G331" s="5" t="n"/>
      <c r="H331" s="6" t="n"/>
      <c r="I331" s="6" t="n"/>
      <c r="K331" s="6" t="n"/>
      <c r="L331" s="6" t="n"/>
      <c r="M331" s="7" t="n"/>
    </row>
    <row r="332">
      <c r="G332" s="5" t="n"/>
      <c r="H332" s="6" t="n"/>
      <c r="I332" s="6" t="n"/>
      <c r="K332" s="6" t="n"/>
      <c r="L332" s="6" t="n"/>
      <c r="M332" s="7" t="n"/>
    </row>
    <row r="333">
      <c r="G333" s="5" t="n"/>
      <c r="H333" s="6" t="n"/>
      <c r="I333" s="6" t="n"/>
      <c r="K333" s="6" t="n"/>
      <c r="L333" s="6" t="n"/>
      <c r="M333" s="7" t="n"/>
    </row>
    <row r="334">
      <c r="G334" s="5" t="n"/>
      <c r="H334" s="6" t="n"/>
      <c r="I334" s="6" t="n"/>
      <c r="K334" s="6" t="n"/>
      <c r="L334" s="6" t="n"/>
      <c r="M334" s="7" t="n"/>
    </row>
    <row r="335">
      <c r="G335" s="5" t="n"/>
      <c r="H335" s="6" t="n"/>
      <c r="I335" s="6" t="n"/>
      <c r="K335" s="6" t="n"/>
      <c r="L335" s="6" t="n"/>
      <c r="M335" s="7" t="n"/>
    </row>
    <row r="336">
      <c r="G336" s="5" t="n"/>
      <c r="H336" s="6" t="n"/>
      <c r="I336" s="6" t="n"/>
      <c r="K336" s="6" t="n"/>
      <c r="L336" s="6" t="n"/>
      <c r="M336" s="7" t="n"/>
    </row>
    <row r="337">
      <c r="G337" s="5" t="n"/>
      <c r="H337" s="6" t="n"/>
      <c r="I337" s="6" t="n"/>
      <c r="K337" s="6" t="n"/>
      <c r="L337" s="6" t="n"/>
      <c r="M337" s="7" t="n"/>
    </row>
    <row r="338">
      <c r="G338" s="5" t="n"/>
      <c r="H338" s="6" t="n"/>
      <c r="I338" s="6" t="n"/>
      <c r="K338" s="6" t="n"/>
      <c r="L338" s="6" t="n"/>
      <c r="M338" s="7" t="n"/>
    </row>
    <row r="339">
      <c r="G339" s="5" t="n"/>
      <c r="H339" s="6" t="n"/>
      <c r="I339" s="6" t="n"/>
      <c r="K339" s="6" t="n"/>
      <c r="L339" s="6" t="n"/>
      <c r="M339" s="7" t="n"/>
    </row>
    <row r="340">
      <c r="G340" s="5" t="n"/>
      <c r="H340" s="6" t="n"/>
      <c r="I340" s="6" t="n"/>
      <c r="K340" s="6" t="n"/>
      <c r="L340" s="6" t="n"/>
      <c r="M340" s="7" t="n"/>
    </row>
    <row r="341">
      <c r="G341" s="5" t="n"/>
      <c r="H341" s="6" t="n"/>
      <c r="I341" s="6" t="n"/>
      <c r="K341" s="6" t="n"/>
      <c r="L341" s="6" t="n"/>
      <c r="M341" s="7" t="n"/>
    </row>
    <row r="342">
      <c r="G342" s="5" t="n"/>
      <c r="H342" s="6" t="n"/>
      <c r="I342" s="6" t="n"/>
      <c r="K342" s="6" t="n"/>
      <c r="L342" s="6" t="n"/>
      <c r="M342" s="7" t="n"/>
    </row>
    <row r="343">
      <c r="G343" s="5" t="n"/>
      <c r="H343" s="6" t="n"/>
      <c r="I343" s="6" t="n"/>
      <c r="K343" s="6" t="n"/>
      <c r="L343" s="6" t="n"/>
      <c r="M343" s="7" t="n"/>
    </row>
    <row r="344">
      <c r="G344" s="5" t="n"/>
      <c r="H344" s="6" t="n"/>
      <c r="I344" s="6" t="n"/>
      <c r="K344" s="6" t="n"/>
      <c r="L344" s="6" t="n"/>
      <c r="M344" s="7" t="n"/>
    </row>
    <row r="345">
      <c r="G345" s="5" t="n"/>
      <c r="H345" s="6" t="n"/>
      <c r="I345" s="6" t="n"/>
      <c r="K345" s="6" t="n"/>
      <c r="L345" s="6" t="n"/>
      <c r="M345" s="7" t="n"/>
    </row>
    <row r="346">
      <c r="G346" s="5" t="n"/>
      <c r="H346" s="6" t="n"/>
      <c r="I346" s="6" t="n"/>
      <c r="K346" s="6" t="n"/>
      <c r="L346" s="6" t="n"/>
      <c r="M346" s="7" t="n"/>
    </row>
    <row r="347">
      <c r="G347" s="5" t="n"/>
      <c r="H347" s="6" t="n"/>
      <c r="I347" s="6" t="n"/>
      <c r="K347" s="6" t="n"/>
      <c r="L347" s="6" t="n"/>
      <c r="M347" s="7" t="n"/>
    </row>
    <row r="348">
      <c r="G348" s="5" t="n"/>
      <c r="H348" s="6" t="n"/>
      <c r="I348" s="6" t="n"/>
      <c r="K348" s="6" t="n"/>
      <c r="L348" s="6" t="n"/>
      <c r="M348" s="7" t="n"/>
    </row>
    <row r="349">
      <c r="G349" s="5" t="n"/>
      <c r="H349" s="6" t="n"/>
      <c r="I349" s="6" t="n"/>
      <c r="K349" s="6" t="n"/>
      <c r="L349" s="6" t="n"/>
      <c r="M349" s="7" t="n"/>
    </row>
    <row r="350">
      <c r="G350" s="5" t="n"/>
      <c r="H350" s="6" t="n"/>
      <c r="I350" s="6" t="n"/>
      <c r="K350" s="6" t="n"/>
      <c r="L350" s="6" t="n"/>
      <c r="M350" s="7" t="n"/>
    </row>
    <row r="351">
      <c r="G351" s="5" t="n"/>
      <c r="H351" s="6" t="n"/>
      <c r="I351" s="6" t="n"/>
      <c r="K351" s="6" t="n"/>
      <c r="L351" s="6" t="n"/>
      <c r="M351" s="7" t="n"/>
    </row>
    <row r="352">
      <c r="G352" s="5" t="n"/>
      <c r="H352" s="6" t="n"/>
      <c r="I352" s="6" t="n"/>
      <c r="K352" s="6" t="n"/>
      <c r="L352" s="6" t="n"/>
      <c r="M352" s="7" t="n"/>
    </row>
    <row r="353">
      <c r="G353" s="5" t="n"/>
      <c r="H353" s="6" t="n"/>
      <c r="I353" s="6" t="n"/>
      <c r="K353" s="6" t="n"/>
      <c r="L353" s="6" t="n"/>
      <c r="M353" s="7" t="n"/>
    </row>
    <row r="354">
      <c r="G354" s="5" t="n"/>
      <c r="H354" s="6" t="n"/>
      <c r="I354" s="6" t="n"/>
      <c r="K354" s="6" t="n"/>
      <c r="L354" s="6" t="n"/>
      <c r="M354" s="7" t="n"/>
    </row>
    <row r="355">
      <c r="G355" s="5" t="n"/>
      <c r="H355" s="6" t="n"/>
      <c r="I355" s="6" t="n"/>
      <c r="K355" s="6" t="n"/>
      <c r="L355" s="6" t="n"/>
      <c r="M355" s="7" t="n"/>
    </row>
    <row r="356">
      <c r="G356" s="5" t="n"/>
      <c r="H356" s="6" t="n"/>
      <c r="I356" s="6" t="n"/>
      <c r="K356" s="6" t="n"/>
      <c r="L356" s="6" t="n"/>
      <c r="M356" s="7" t="n"/>
    </row>
    <row r="357">
      <c r="G357" s="5" t="n"/>
      <c r="H357" s="6" t="n"/>
      <c r="I357" s="6" t="n"/>
      <c r="K357" s="6" t="n"/>
      <c r="L357" s="6" t="n"/>
      <c r="M357" s="7" t="n"/>
    </row>
    <row r="358">
      <c r="G358" s="5" t="n"/>
      <c r="H358" s="6" t="n"/>
      <c r="I358" s="6" t="n"/>
      <c r="K358" s="6" t="n"/>
      <c r="L358" s="6" t="n"/>
      <c r="M358" s="7" t="n"/>
    </row>
    <row r="359">
      <c r="G359" s="5" t="n"/>
      <c r="H359" s="6" t="n"/>
      <c r="I359" s="6" t="n"/>
      <c r="K359" s="6" t="n"/>
      <c r="L359" s="6" t="n"/>
      <c r="M359" s="7" t="n"/>
    </row>
    <row r="360">
      <c r="G360" s="5" t="n"/>
      <c r="H360" s="6" t="n"/>
      <c r="I360" s="6" t="n"/>
      <c r="K360" s="6" t="n"/>
      <c r="L360" s="6" t="n"/>
      <c r="M360" s="7" t="n"/>
    </row>
    <row r="361">
      <c r="G361" s="5" t="n"/>
      <c r="H361" s="6" t="n"/>
      <c r="I361" s="6" t="n"/>
      <c r="K361" s="6" t="n"/>
      <c r="L361" s="6" t="n"/>
      <c r="M361" s="7" t="n"/>
    </row>
    <row r="362">
      <c r="G362" s="5" t="n"/>
      <c r="H362" s="6" t="n"/>
      <c r="I362" s="6" t="n"/>
      <c r="K362" s="6" t="n"/>
      <c r="L362" s="6" t="n"/>
      <c r="M362" s="7" t="n"/>
    </row>
    <row r="363">
      <c r="G363" s="5" t="n"/>
      <c r="H363" s="6" t="n"/>
      <c r="I363" s="6" t="n"/>
      <c r="K363" s="6" t="n"/>
      <c r="L363" s="6" t="n"/>
      <c r="M363" s="7" t="n"/>
    </row>
    <row r="364">
      <c r="G364" s="5" t="n"/>
      <c r="H364" s="6" t="n"/>
      <c r="I364" s="6" t="n"/>
      <c r="K364" s="6" t="n"/>
      <c r="L364" s="6" t="n"/>
      <c r="M364" s="7" t="n"/>
    </row>
    <row r="365">
      <c r="G365" s="5" t="n"/>
      <c r="H365" s="6" t="n"/>
      <c r="I365" s="6" t="n"/>
      <c r="K365" s="6" t="n"/>
      <c r="L365" s="6" t="n"/>
      <c r="M365" s="7" t="n"/>
    </row>
    <row r="366">
      <c r="G366" s="5" t="n"/>
      <c r="H366" s="6" t="n"/>
      <c r="I366" s="6" t="n"/>
      <c r="K366" s="6" t="n"/>
      <c r="L366" s="6" t="n"/>
      <c r="M366" s="7" t="n"/>
    </row>
    <row r="367">
      <c r="G367" s="5" t="n"/>
      <c r="H367" s="6" t="n"/>
      <c r="I367" s="6" t="n"/>
      <c r="K367" s="6" t="n"/>
      <c r="L367" s="6" t="n"/>
      <c r="M367" s="7" t="n"/>
    </row>
    <row r="368">
      <c r="G368" s="5" t="n"/>
      <c r="H368" s="6" t="n"/>
      <c r="I368" s="6" t="n"/>
      <c r="K368" s="6" t="n"/>
      <c r="L368" s="6" t="n"/>
      <c r="M368" s="7" t="n"/>
    </row>
    <row r="369">
      <c r="G369" s="5" t="n"/>
      <c r="H369" s="6" t="n"/>
      <c r="I369" s="6" t="n"/>
      <c r="K369" s="6" t="n"/>
      <c r="L369" s="6" t="n"/>
      <c r="M369" s="7" t="n"/>
    </row>
    <row r="370">
      <c r="G370" s="5" t="n"/>
      <c r="H370" s="6" t="n"/>
      <c r="I370" s="6" t="n"/>
      <c r="K370" s="6" t="n"/>
      <c r="L370" s="6" t="n"/>
      <c r="M370" s="7" t="n"/>
    </row>
    <row r="371">
      <c r="G371" s="5" t="n"/>
      <c r="H371" s="6" t="n"/>
      <c r="I371" s="6" t="n"/>
      <c r="K371" s="6" t="n"/>
      <c r="L371" s="6" t="n"/>
      <c r="M371" s="7" t="n"/>
    </row>
    <row r="372">
      <c r="G372" s="5" t="n"/>
      <c r="H372" s="6" t="n"/>
      <c r="I372" s="6" t="n"/>
      <c r="K372" s="6" t="n"/>
      <c r="L372" s="6" t="n"/>
      <c r="M372" s="7" t="n"/>
    </row>
    <row r="373">
      <c r="G373" s="5" t="n"/>
      <c r="H373" s="6" t="n"/>
      <c r="I373" s="6" t="n"/>
      <c r="K373" s="6" t="n"/>
      <c r="L373" s="6" t="n"/>
      <c r="M373" s="7" t="n"/>
    </row>
    <row r="374">
      <c r="G374" s="5" t="n"/>
      <c r="H374" s="6" t="n"/>
      <c r="I374" s="6" t="n"/>
      <c r="K374" s="6" t="n"/>
      <c r="L374" s="6" t="n"/>
      <c r="M374" s="7" t="n"/>
    </row>
    <row r="375">
      <c r="G375" s="5" t="n"/>
      <c r="H375" s="6" t="n"/>
      <c r="I375" s="6" t="n"/>
      <c r="K375" s="6" t="n"/>
      <c r="L375" s="6" t="n"/>
      <c r="M375" s="7" t="n"/>
    </row>
    <row r="376">
      <c r="G376" s="5" t="n"/>
      <c r="H376" s="6" t="n"/>
      <c r="I376" s="6" t="n"/>
      <c r="K376" s="6" t="n"/>
      <c r="L376" s="6" t="n"/>
      <c r="M376" s="7" t="n"/>
    </row>
    <row r="377">
      <c r="G377" s="5" t="n"/>
      <c r="H377" s="6" t="n"/>
      <c r="I377" s="6" t="n"/>
      <c r="K377" s="6" t="n"/>
      <c r="L377" s="6" t="n"/>
      <c r="M377" s="7" t="n"/>
    </row>
    <row r="378">
      <c r="G378" s="5" t="n"/>
      <c r="H378" s="6" t="n"/>
      <c r="I378" s="6" t="n"/>
      <c r="K378" s="6" t="n"/>
      <c r="L378" s="6" t="n"/>
      <c r="M378" s="7" t="n"/>
    </row>
    <row r="379">
      <c r="G379" s="5" t="n"/>
      <c r="H379" s="6" t="n"/>
      <c r="I379" s="6" t="n"/>
      <c r="K379" s="6" t="n"/>
      <c r="L379" s="6" t="n"/>
      <c r="M379" s="7" t="n"/>
    </row>
    <row r="380">
      <c r="G380" s="5" t="n"/>
      <c r="H380" s="6" t="n"/>
      <c r="I380" s="6" t="n"/>
      <c r="K380" s="6" t="n"/>
      <c r="L380" s="6" t="n"/>
      <c r="M380" s="7" t="n"/>
    </row>
    <row r="381">
      <c r="G381" s="5" t="n"/>
      <c r="H381" s="6" t="n"/>
      <c r="I381" s="6" t="n"/>
      <c r="K381" s="6" t="n"/>
      <c r="L381" s="6" t="n"/>
      <c r="M381" s="7" t="n"/>
    </row>
    <row r="382">
      <c r="G382" s="5" t="n"/>
      <c r="H382" s="6" t="n"/>
      <c r="I382" s="6" t="n"/>
      <c r="K382" s="6" t="n"/>
      <c r="L382" s="6" t="n"/>
      <c r="M382" s="7" t="n"/>
    </row>
    <row r="383">
      <c r="G383" s="5" t="n"/>
      <c r="H383" s="6" t="n"/>
      <c r="I383" s="6" t="n"/>
      <c r="K383" s="6" t="n"/>
      <c r="L383" s="6" t="n"/>
      <c r="M383" s="7" t="n"/>
    </row>
    <row r="384">
      <c r="G384" s="5" t="n"/>
      <c r="H384" s="6" t="n"/>
      <c r="I384" s="6" t="n"/>
      <c r="K384" s="6" t="n"/>
      <c r="L384" s="6" t="n"/>
      <c r="M384" s="7" t="n"/>
    </row>
    <row r="385">
      <c r="G385" s="5" t="n"/>
      <c r="H385" s="6" t="n"/>
      <c r="I385" s="6" t="n"/>
      <c r="K385" s="6" t="n"/>
      <c r="L385" s="6" t="n"/>
      <c r="M385" s="7" t="n"/>
    </row>
    <row r="386">
      <c r="G386" s="5" t="n"/>
      <c r="H386" s="6" t="n"/>
      <c r="I386" s="6" t="n"/>
      <c r="K386" s="6" t="n"/>
      <c r="L386" s="6" t="n"/>
      <c r="M386" s="7" t="n"/>
    </row>
    <row r="387">
      <c r="G387" s="5" t="n"/>
      <c r="H387" s="6" t="n"/>
      <c r="I387" s="6" t="n"/>
      <c r="K387" s="6" t="n"/>
      <c r="L387" s="6" t="n"/>
      <c r="M387" s="7" t="n"/>
    </row>
    <row r="388">
      <c r="G388" s="5" t="n"/>
      <c r="H388" s="6" t="n"/>
      <c r="I388" s="6" t="n"/>
      <c r="K388" s="6" t="n"/>
      <c r="L388" s="6" t="n"/>
      <c r="M388" s="7" t="n"/>
    </row>
    <row r="389">
      <c r="G389" s="5" t="n"/>
      <c r="H389" s="6" t="n"/>
      <c r="I389" s="6" t="n"/>
      <c r="K389" s="6" t="n"/>
      <c r="L389" s="6" t="n"/>
      <c r="M389" s="7" t="n"/>
    </row>
    <row r="390">
      <c r="G390" s="5" t="n"/>
      <c r="H390" s="6" t="n"/>
      <c r="I390" s="6" t="n"/>
      <c r="K390" s="6" t="n"/>
      <c r="L390" s="6" t="n"/>
      <c r="M390" s="7" t="n"/>
    </row>
    <row r="391">
      <c r="G391" s="5" t="n"/>
      <c r="H391" s="6" t="n"/>
      <c r="I391" s="6" t="n"/>
      <c r="K391" s="6" t="n"/>
      <c r="L391" s="6" t="n"/>
      <c r="M391" s="7" t="n"/>
    </row>
    <row r="392">
      <c r="G392" s="5" t="n"/>
      <c r="H392" s="6" t="n"/>
      <c r="I392" s="6" t="n"/>
      <c r="K392" s="6" t="n"/>
      <c r="L392" s="6" t="n"/>
      <c r="M392" s="7" t="n"/>
    </row>
    <row r="393">
      <c r="G393" s="5" t="n"/>
      <c r="H393" s="6" t="n"/>
      <c r="I393" s="6" t="n"/>
      <c r="K393" s="6" t="n"/>
      <c r="L393" s="6" t="n"/>
      <c r="M393" s="7" t="n"/>
    </row>
    <row r="394">
      <c r="G394" s="5" t="n"/>
      <c r="H394" s="6" t="n"/>
      <c r="I394" s="6" t="n"/>
      <c r="K394" s="6" t="n"/>
      <c r="L394" s="6" t="n"/>
      <c r="M394" s="7" t="n"/>
    </row>
    <row r="395">
      <c r="G395" s="5" t="n"/>
      <c r="H395" s="6" t="n"/>
      <c r="I395" s="6" t="n"/>
      <c r="K395" s="6" t="n"/>
      <c r="L395" s="6" t="n"/>
      <c r="M395" s="7" t="n"/>
    </row>
    <row r="396">
      <c r="G396" s="5" t="n"/>
      <c r="H396" s="6" t="n"/>
      <c r="I396" s="6" t="n"/>
      <c r="K396" s="6" t="n"/>
      <c r="L396" s="6" t="n"/>
      <c r="M396" s="7" t="n"/>
    </row>
    <row r="397">
      <c r="G397" s="5" t="n"/>
      <c r="H397" s="6" t="n"/>
      <c r="I397" s="6" t="n"/>
      <c r="K397" s="6" t="n"/>
      <c r="L397" s="6" t="n"/>
      <c r="M397" s="7" t="n"/>
    </row>
    <row r="398">
      <c r="G398" s="5" t="n"/>
      <c r="H398" s="6" t="n"/>
      <c r="I398" s="6" t="n"/>
      <c r="K398" s="6" t="n"/>
      <c r="L398" s="6" t="n"/>
      <c r="M398" s="7" t="n"/>
    </row>
    <row r="399">
      <c r="G399" s="5" t="n"/>
      <c r="H399" s="6" t="n"/>
      <c r="I399" s="6" t="n"/>
      <c r="K399" s="6" t="n"/>
      <c r="L399" s="6" t="n"/>
      <c r="M399" s="7" t="n"/>
    </row>
    <row r="400">
      <c r="G400" s="5" t="n"/>
      <c r="H400" s="6" t="n"/>
      <c r="I400" s="6" t="n"/>
      <c r="K400" s="6" t="n"/>
      <c r="L400" s="6" t="n"/>
      <c r="M400" s="7" t="n"/>
    </row>
    <row r="401">
      <c r="G401" s="5" t="n"/>
      <c r="H401" s="6" t="n"/>
      <c r="I401" s="6" t="n"/>
      <c r="K401" s="6" t="n"/>
      <c r="L401" s="6" t="n"/>
      <c r="M401" s="7" t="n"/>
    </row>
    <row r="402">
      <c r="G402" s="5" t="n"/>
      <c r="H402" s="6" t="n"/>
      <c r="I402" s="6" t="n"/>
      <c r="K402" s="6" t="n"/>
      <c r="L402" s="6" t="n"/>
      <c r="M402" s="7" t="n"/>
    </row>
    <row r="403">
      <c r="G403" s="5" t="n"/>
      <c r="H403" s="6" t="n"/>
      <c r="I403" s="6" t="n"/>
      <c r="K403" s="6" t="n"/>
      <c r="L403" s="6" t="n"/>
      <c r="M403" s="7" t="n"/>
    </row>
    <row r="404">
      <c r="G404" s="5" t="n"/>
      <c r="H404" s="6" t="n"/>
      <c r="I404" s="6" t="n"/>
      <c r="K404" s="6" t="n"/>
      <c r="L404" s="6" t="n"/>
      <c r="M404" s="7" t="n"/>
    </row>
    <row r="405">
      <c r="G405" s="5" t="n"/>
      <c r="H405" s="6" t="n"/>
      <c r="I405" s="6" t="n"/>
      <c r="K405" s="6" t="n"/>
      <c r="L405" s="6" t="n"/>
      <c r="M405" s="7" t="n"/>
    </row>
    <row r="406">
      <c r="G406" s="5" t="n"/>
      <c r="H406" s="6" t="n"/>
      <c r="I406" s="6" t="n"/>
      <c r="K406" s="6" t="n"/>
      <c r="L406" s="6" t="n"/>
      <c r="M406" s="7" t="n"/>
    </row>
    <row r="407">
      <c r="G407" s="5" t="n"/>
      <c r="H407" s="6" t="n"/>
      <c r="I407" s="6" t="n"/>
      <c r="K407" s="6" t="n"/>
      <c r="L407" s="6" t="n"/>
      <c r="M407" s="7" t="n"/>
    </row>
    <row r="408">
      <c r="G408" s="5" t="n"/>
      <c r="H408" s="6" t="n"/>
      <c r="I408" s="6" t="n"/>
      <c r="K408" s="6" t="n"/>
      <c r="L408" s="6" t="n"/>
      <c r="M408" s="7" t="n"/>
    </row>
    <row r="409">
      <c r="G409" s="5" t="n"/>
      <c r="H409" s="6" t="n"/>
      <c r="I409" s="6" t="n"/>
      <c r="K409" s="6" t="n"/>
      <c r="L409" s="6" t="n"/>
      <c r="M409" s="7" t="n"/>
    </row>
    <row r="410">
      <c r="G410" s="5" t="n"/>
      <c r="H410" s="6" t="n"/>
      <c r="I410" s="6" t="n"/>
      <c r="K410" s="6" t="n"/>
      <c r="L410" s="6" t="n"/>
      <c r="M410" s="7" t="n"/>
    </row>
    <row r="411">
      <c r="G411" s="5" t="n"/>
      <c r="H411" s="6" t="n"/>
      <c r="I411" s="6" t="n"/>
      <c r="K411" s="6" t="n"/>
      <c r="L411" s="6" t="n"/>
      <c r="M411" s="7" t="n"/>
    </row>
    <row r="412">
      <c r="G412" s="5" t="n"/>
      <c r="H412" s="6" t="n"/>
      <c r="I412" s="6" t="n"/>
      <c r="K412" s="6" t="n"/>
      <c r="L412" s="6" t="n"/>
      <c r="M412" s="7" t="n"/>
    </row>
    <row r="413">
      <c r="G413" s="5" t="n"/>
      <c r="H413" s="6" t="n"/>
      <c r="I413" s="6" t="n"/>
      <c r="K413" s="6" t="n"/>
      <c r="L413" s="6" t="n"/>
      <c r="M413" s="7" t="n"/>
    </row>
    <row r="414">
      <c r="G414" s="5" t="n"/>
      <c r="H414" s="6" t="n"/>
      <c r="I414" s="6" t="n"/>
      <c r="K414" s="6" t="n"/>
      <c r="L414" s="6" t="n"/>
      <c r="M414" s="7" t="n"/>
    </row>
    <row r="415">
      <c r="G415" s="5" t="n"/>
      <c r="H415" s="6" t="n"/>
      <c r="I415" s="6" t="n"/>
      <c r="K415" s="6" t="n"/>
      <c r="L415" s="6" t="n"/>
      <c r="M415" s="7" t="n"/>
    </row>
    <row r="416">
      <c r="G416" s="5" t="n"/>
      <c r="H416" s="6" t="n"/>
      <c r="I416" s="6" t="n"/>
      <c r="K416" s="6" t="n"/>
      <c r="L416" s="6" t="n"/>
      <c r="M416" s="7" t="n"/>
    </row>
    <row r="417">
      <c r="G417" s="5" t="n"/>
      <c r="H417" s="6" t="n"/>
      <c r="I417" s="6" t="n"/>
      <c r="K417" s="6" t="n"/>
      <c r="L417" s="6" t="n"/>
      <c r="M417" s="7" t="n"/>
    </row>
    <row r="418">
      <c r="G418" s="5" t="n"/>
      <c r="H418" s="6" t="n"/>
      <c r="I418" s="6" t="n"/>
      <c r="K418" s="6" t="n"/>
      <c r="L418" s="6" t="n"/>
      <c r="M418" s="7" t="n"/>
    </row>
    <row r="419">
      <c r="G419" s="5" t="n"/>
      <c r="H419" s="6" t="n"/>
      <c r="I419" s="6" t="n"/>
      <c r="K419" s="6" t="n"/>
      <c r="L419" s="6" t="n"/>
      <c r="M419" s="7" t="n"/>
    </row>
    <row r="420">
      <c r="G420" s="5" t="n"/>
      <c r="H420" s="6" t="n"/>
      <c r="I420" s="6" t="n"/>
      <c r="K420" s="6" t="n"/>
      <c r="L420" s="6" t="n"/>
      <c r="M420" s="7" t="n"/>
    </row>
    <row r="421">
      <c r="G421" s="5" t="n"/>
      <c r="H421" s="6" t="n"/>
      <c r="I421" s="6" t="n"/>
      <c r="K421" s="6" t="n"/>
      <c r="L421" s="6" t="n"/>
      <c r="M421" s="7" t="n"/>
    </row>
    <row r="422">
      <c r="G422" s="5" t="n"/>
      <c r="H422" s="6" t="n"/>
      <c r="I422" s="6" t="n"/>
      <c r="K422" s="6" t="n"/>
      <c r="L422" s="6" t="n"/>
      <c r="M422" s="7" t="n"/>
    </row>
    <row r="423">
      <c r="G423" s="5" t="n"/>
      <c r="H423" s="6" t="n"/>
      <c r="I423" s="6" t="n"/>
      <c r="K423" s="6" t="n"/>
      <c r="L423" s="6" t="n"/>
      <c r="M423" s="7" t="n"/>
    </row>
    <row r="424">
      <c r="G424" s="5" t="n"/>
      <c r="H424" s="6" t="n"/>
      <c r="I424" s="6" t="n"/>
      <c r="K424" s="6" t="n"/>
      <c r="L424" s="6" t="n"/>
      <c r="M424" s="7" t="n"/>
    </row>
    <row r="425">
      <c r="G425" s="5" t="n"/>
      <c r="H425" s="6" t="n"/>
      <c r="I425" s="6" t="n"/>
      <c r="K425" s="6" t="n"/>
      <c r="L425" s="6" t="n"/>
      <c r="M425" s="7" t="n"/>
    </row>
    <row r="426">
      <c r="G426" s="5" t="n"/>
      <c r="H426" s="6" t="n"/>
      <c r="I426" s="6" t="n"/>
      <c r="K426" s="6" t="n"/>
      <c r="L426" s="6" t="n"/>
      <c r="M426" s="7" t="n"/>
    </row>
    <row r="427">
      <c r="G427" s="5" t="n"/>
      <c r="H427" s="6" t="n"/>
      <c r="I427" s="6" t="n"/>
      <c r="K427" s="6" t="n"/>
      <c r="L427" s="6" t="n"/>
      <c r="M427" s="7" t="n"/>
    </row>
    <row r="428">
      <c r="G428" s="5" t="n"/>
      <c r="H428" s="6" t="n"/>
      <c r="I428" s="6" t="n"/>
      <c r="K428" s="6" t="n"/>
      <c r="L428" s="6" t="n"/>
      <c r="M428" s="7" t="n"/>
    </row>
    <row r="429">
      <c r="G429" s="5" t="n"/>
      <c r="H429" s="6" t="n"/>
      <c r="I429" s="6" t="n"/>
      <c r="K429" s="6" t="n"/>
      <c r="L429" s="6" t="n"/>
      <c r="M429" s="7" t="n"/>
    </row>
    <row r="430">
      <c r="G430" s="5" t="n"/>
      <c r="H430" s="6" t="n"/>
      <c r="I430" s="6" t="n"/>
      <c r="K430" s="6" t="n"/>
      <c r="L430" s="6" t="n"/>
      <c r="M430" s="7" t="n"/>
    </row>
    <row r="431">
      <c r="G431" s="5" t="n"/>
      <c r="H431" s="6" t="n"/>
      <c r="I431" s="6" t="n"/>
      <c r="K431" s="6" t="n"/>
      <c r="L431" s="6" t="n"/>
      <c r="M431" s="7" t="n"/>
    </row>
    <row r="432">
      <c r="G432" s="5" t="n"/>
      <c r="H432" s="6" t="n"/>
      <c r="I432" s="6" t="n"/>
      <c r="K432" s="6" t="n"/>
      <c r="L432" s="6" t="n"/>
      <c r="M432" s="7" t="n"/>
    </row>
    <row r="433">
      <c r="G433" s="5" t="n"/>
      <c r="H433" s="6" t="n"/>
      <c r="I433" s="6" t="n"/>
      <c r="K433" s="6" t="n"/>
      <c r="L433" s="6" t="n"/>
      <c r="M433" s="7" t="n"/>
    </row>
    <row r="434">
      <c r="G434" s="5" t="n"/>
      <c r="H434" s="6" t="n"/>
      <c r="I434" s="6" t="n"/>
      <c r="K434" s="6" t="n"/>
      <c r="L434" s="6" t="n"/>
      <c r="M434" s="7" t="n"/>
    </row>
    <row r="435">
      <c r="G435" s="5" t="n"/>
      <c r="H435" s="6" t="n"/>
      <c r="I435" s="6" t="n"/>
      <c r="K435" s="6" t="n"/>
      <c r="L435" s="6" t="n"/>
      <c r="M435" s="7" t="n"/>
    </row>
    <row r="436">
      <c r="G436" s="5" t="n"/>
      <c r="H436" s="6" t="n"/>
      <c r="I436" s="6" t="n"/>
      <c r="K436" s="6" t="n"/>
      <c r="L436" s="6" t="n"/>
      <c r="M436" s="7" t="n"/>
    </row>
    <row r="437">
      <c r="G437" s="5" t="n"/>
      <c r="H437" s="6" t="n"/>
      <c r="I437" s="6" t="n"/>
      <c r="K437" s="6" t="n"/>
      <c r="L437" s="6" t="n"/>
      <c r="M437" s="7" t="n"/>
    </row>
    <row r="438">
      <c r="G438" s="5" t="n"/>
      <c r="H438" s="6" t="n"/>
      <c r="I438" s="6" t="n"/>
      <c r="K438" s="6" t="n"/>
      <c r="L438" s="6" t="n"/>
      <c r="M438" s="7" t="n"/>
    </row>
    <row r="439">
      <c r="G439" s="5" t="n"/>
      <c r="H439" s="6" t="n"/>
      <c r="I439" s="6" t="n"/>
      <c r="K439" s="6" t="n"/>
      <c r="L439" s="6" t="n"/>
      <c r="M439" s="7" t="n"/>
    </row>
    <row r="440">
      <c r="G440" s="5" t="n"/>
      <c r="H440" s="6" t="n"/>
      <c r="I440" s="6" t="n"/>
      <c r="K440" s="6" t="n"/>
      <c r="L440" s="6" t="n"/>
      <c r="M440" s="7" t="n"/>
    </row>
    <row r="441">
      <c r="G441" s="5" t="n"/>
      <c r="H441" s="6" t="n"/>
      <c r="I441" s="6" t="n"/>
      <c r="K441" s="6" t="n"/>
      <c r="L441" s="6" t="n"/>
      <c r="M441" s="7" t="n"/>
    </row>
    <row r="442">
      <c r="G442" s="5" t="n"/>
      <c r="H442" s="6" t="n"/>
      <c r="I442" s="6" t="n"/>
      <c r="K442" s="6" t="n"/>
      <c r="L442" s="6" t="n"/>
      <c r="M442" s="7" t="n"/>
    </row>
    <row r="443">
      <c r="G443" s="5" t="n"/>
      <c r="H443" s="6" t="n"/>
      <c r="I443" s="6" t="n"/>
      <c r="K443" s="6" t="n"/>
      <c r="L443" s="6" t="n"/>
      <c r="M443" s="7" t="n"/>
    </row>
    <row r="444">
      <c r="G444" s="5" t="n"/>
      <c r="H444" s="6" t="n"/>
      <c r="I444" s="6" t="n"/>
      <c r="K444" s="6" t="n"/>
      <c r="L444" s="6" t="n"/>
      <c r="M444" s="7" t="n"/>
    </row>
    <row r="445">
      <c r="G445" s="5" t="n"/>
      <c r="H445" s="6" t="n"/>
      <c r="I445" s="6" t="n"/>
      <c r="K445" s="6" t="n"/>
      <c r="L445" s="6" t="n"/>
      <c r="M445" s="7" t="n"/>
    </row>
    <row r="446">
      <c r="G446" s="5" t="n"/>
      <c r="H446" s="6" t="n"/>
      <c r="I446" s="6" t="n"/>
      <c r="K446" s="6" t="n"/>
      <c r="L446" s="6" t="n"/>
      <c r="M446" s="7" t="n"/>
    </row>
    <row r="447">
      <c r="G447" s="5" t="n"/>
      <c r="H447" s="6" t="n"/>
      <c r="I447" s="6" t="n"/>
      <c r="K447" s="6" t="n"/>
      <c r="L447" s="6" t="n"/>
      <c r="M447" s="7" t="n"/>
    </row>
    <row r="448">
      <c r="G448" s="5" t="n"/>
      <c r="H448" s="6" t="n"/>
      <c r="I448" s="6" t="n"/>
      <c r="K448" s="6" t="n"/>
      <c r="L448" s="6" t="n"/>
      <c r="M448" s="7" t="n"/>
    </row>
    <row r="449">
      <c r="G449" s="5" t="n"/>
      <c r="H449" s="6" t="n"/>
      <c r="I449" s="6" t="n"/>
      <c r="K449" s="6" t="n"/>
      <c r="L449" s="6" t="n"/>
      <c r="M449" s="7" t="n"/>
    </row>
    <row r="450">
      <c r="G450" s="5" t="n"/>
      <c r="H450" s="6" t="n"/>
      <c r="I450" s="6" t="n"/>
      <c r="K450" s="6" t="n"/>
      <c r="L450" s="6" t="n"/>
      <c r="M450" s="7" t="n"/>
    </row>
    <row r="451">
      <c r="G451" s="5" t="n"/>
      <c r="H451" s="6" t="n"/>
      <c r="I451" s="6" t="n"/>
      <c r="K451" s="6" t="n"/>
      <c r="L451" s="6" t="n"/>
      <c r="M451" s="7" t="n"/>
    </row>
    <row r="452">
      <c r="G452" s="5" t="n"/>
      <c r="H452" s="6" t="n"/>
      <c r="I452" s="6" t="n"/>
      <c r="K452" s="6" t="n"/>
      <c r="L452" s="6" t="n"/>
      <c r="M452" s="7" t="n"/>
    </row>
    <row r="453">
      <c r="G453" s="5" t="n"/>
      <c r="H453" s="6" t="n"/>
      <c r="I453" s="6" t="n"/>
      <c r="K453" s="6" t="n"/>
      <c r="L453" s="6" t="n"/>
      <c r="M453" s="7" t="n"/>
    </row>
    <row r="454">
      <c r="G454" s="5" t="n"/>
      <c r="H454" s="6" t="n"/>
      <c r="I454" s="6" t="n"/>
      <c r="K454" s="6" t="n"/>
      <c r="L454" s="6" t="n"/>
      <c r="M454" s="7" t="n"/>
    </row>
    <row r="455">
      <c r="G455" s="5" t="n"/>
      <c r="H455" s="6" t="n"/>
      <c r="I455" s="6" t="n"/>
      <c r="K455" s="6" t="n"/>
      <c r="L455" s="6" t="n"/>
      <c r="M455" s="7" t="n"/>
    </row>
    <row r="456">
      <c r="G456" s="5" t="n"/>
      <c r="H456" s="6" t="n"/>
      <c r="I456" s="6" t="n"/>
      <c r="K456" s="6" t="n"/>
      <c r="L456" s="6" t="n"/>
      <c r="M456" s="7" t="n"/>
    </row>
    <row r="457">
      <c r="G457" s="5" t="n"/>
      <c r="H457" s="6" t="n"/>
      <c r="I457" s="6" t="n"/>
      <c r="K457" s="6" t="n"/>
      <c r="L457" s="6" t="n"/>
      <c r="M457" s="7" t="n"/>
    </row>
    <row r="458">
      <c r="G458" s="5" t="n"/>
      <c r="H458" s="6" t="n"/>
      <c r="I458" s="6" t="n"/>
      <c r="K458" s="6" t="n"/>
      <c r="L458" s="6" t="n"/>
      <c r="M458" s="7" t="n"/>
    </row>
    <row r="459">
      <c r="G459" s="5" t="n"/>
      <c r="H459" s="6" t="n"/>
      <c r="I459" s="6" t="n"/>
      <c r="K459" s="6" t="n"/>
      <c r="L459" s="6" t="n"/>
      <c r="M459" s="7" t="n"/>
    </row>
    <row r="460">
      <c r="G460" s="5" t="n"/>
      <c r="H460" s="6" t="n"/>
      <c r="I460" s="6" t="n"/>
      <c r="K460" s="6" t="n"/>
      <c r="L460" s="6" t="n"/>
      <c r="M460" s="7" t="n"/>
    </row>
    <row r="461">
      <c r="G461" s="5" t="n"/>
      <c r="H461" s="6" t="n"/>
      <c r="I461" s="6" t="n"/>
      <c r="K461" s="6" t="n"/>
      <c r="L461" s="6" t="n"/>
      <c r="M461" s="7" t="n"/>
    </row>
    <row r="462">
      <c r="G462" s="5" t="n"/>
      <c r="H462" s="6" t="n"/>
      <c r="I462" s="6" t="n"/>
      <c r="K462" s="6" t="n"/>
      <c r="L462" s="6" t="n"/>
      <c r="M462" s="7" t="n"/>
    </row>
    <row r="463">
      <c r="G463" s="5" t="n"/>
      <c r="H463" s="6" t="n"/>
      <c r="I463" s="6" t="n"/>
      <c r="K463" s="6" t="n"/>
      <c r="L463" s="6" t="n"/>
      <c r="M463" s="7" t="n"/>
    </row>
    <row r="464">
      <c r="G464" s="5" t="n"/>
      <c r="H464" s="6" t="n"/>
      <c r="I464" s="6" t="n"/>
      <c r="K464" s="6" t="n"/>
      <c r="L464" s="6" t="n"/>
      <c r="M464" s="7" t="n"/>
    </row>
    <row r="465">
      <c r="G465" s="5" t="n"/>
      <c r="H465" s="6" t="n"/>
      <c r="I465" s="6" t="n"/>
      <c r="K465" s="6" t="n"/>
      <c r="L465" s="6" t="n"/>
      <c r="M465" s="7" t="n"/>
    </row>
    <row r="466">
      <c r="G466" s="5" t="n"/>
      <c r="H466" s="6" t="n"/>
      <c r="I466" s="6" t="n"/>
      <c r="K466" s="6" t="n"/>
      <c r="L466" s="6" t="n"/>
      <c r="M466" s="7" t="n"/>
    </row>
    <row r="467">
      <c r="G467" s="5" t="n"/>
      <c r="H467" s="6" t="n"/>
      <c r="I467" s="6" t="n"/>
      <c r="K467" s="6" t="n"/>
      <c r="L467" s="6" t="n"/>
      <c r="M467" s="7" t="n"/>
    </row>
    <row r="468">
      <c r="G468" s="5" t="n"/>
      <c r="H468" s="6" t="n"/>
      <c r="I468" s="6" t="n"/>
      <c r="K468" s="6" t="n"/>
      <c r="L468" s="6" t="n"/>
      <c r="M468" s="7" t="n"/>
    </row>
    <row r="469">
      <c r="G469" s="5" t="n"/>
      <c r="H469" s="6" t="n"/>
      <c r="I469" s="6" t="n"/>
      <c r="K469" s="6" t="n"/>
      <c r="L469" s="6" t="n"/>
      <c r="M469" s="7" t="n"/>
    </row>
    <row r="470">
      <c r="G470" s="5" t="n"/>
      <c r="H470" s="6" t="n"/>
      <c r="I470" s="6" t="n"/>
      <c r="K470" s="6" t="n"/>
      <c r="L470" s="6" t="n"/>
      <c r="M470" s="7" t="n"/>
    </row>
    <row r="471">
      <c r="G471" s="5" t="n"/>
      <c r="H471" s="6" t="n"/>
      <c r="I471" s="6" t="n"/>
      <c r="K471" s="6" t="n"/>
      <c r="L471" s="6" t="n"/>
      <c r="M471" s="7" t="n"/>
    </row>
    <row r="472">
      <c r="G472" s="5" t="n"/>
      <c r="H472" s="6" t="n"/>
      <c r="I472" s="6" t="n"/>
      <c r="K472" s="6" t="n"/>
      <c r="L472" s="6" t="n"/>
      <c r="M472" s="7" t="n"/>
    </row>
    <row r="473">
      <c r="G473" s="5" t="n"/>
      <c r="H473" s="6" t="n"/>
      <c r="I473" s="6" t="n"/>
      <c r="K473" s="6" t="n"/>
      <c r="L473" s="6" t="n"/>
      <c r="M473" s="7" t="n"/>
    </row>
    <row r="474">
      <c r="G474" s="5" t="n"/>
      <c r="H474" s="6" t="n"/>
      <c r="I474" s="6" t="n"/>
      <c r="K474" s="6" t="n"/>
      <c r="L474" s="6" t="n"/>
      <c r="M474" s="7" t="n"/>
    </row>
    <row r="475">
      <c r="G475" s="5" t="n"/>
      <c r="H475" s="6" t="n"/>
      <c r="I475" s="6" t="n"/>
      <c r="K475" s="6" t="n"/>
      <c r="L475" s="6" t="n"/>
      <c r="M475" s="7" t="n"/>
    </row>
    <row r="476">
      <c r="G476" s="5" t="n"/>
      <c r="H476" s="6" t="n"/>
      <c r="I476" s="6" t="n"/>
      <c r="K476" s="6" t="n"/>
      <c r="L476" s="6" t="n"/>
      <c r="M476" s="7" t="n"/>
    </row>
    <row r="477">
      <c r="G477" s="5" t="n"/>
      <c r="H477" s="6" t="n"/>
      <c r="I477" s="6" t="n"/>
      <c r="K477" s="6" t="n"/>
      <c r="L477" s="6" t="n"/>
      <c r="M477" s="7" t="n"/>
    </row>
    <row r="478">
      <c r="G478" s="5" t="n"/>
      <c r="H478" s="6" t="n"/>
      <c r="I478" s="6" t="n"/>
      <c r="K478" s="6" t="n"/>
      <c r="L478" s="6" t="n"/>
      <c r="M478" s="7" t="n"/>
    </row>
    <row r="479">
      <c r="G479" s="5" t="n"/>
      <c r="H479" s="6" t="n"/>
      <c r="I479" s="6" t="n"/>
      <c r="K479" s="6" t="n"/>
      <c r="L479" s="6" t="n"/>
      <c r="M479" s="7" t="n"/>
    </row>
    <row r="480">
      <c r="G480" s="5" t="n"/>
      <c r="H480" s="6" t="n"/>
      <c r="I480" s="6" t="n"/>
      <c r="K480" s="6" t="n"/>
      <c r="L480" s="6" t="n"/>
      <c r="M480" s="7" t="n"/>
    </row>
    <row r="481">
      <c r="G481" s="5" t="n"/>
      <c r="H481" s="6" t="n"/>
      <c r="I481" s="6" t="n"/>
      <c r="K481" s="6" t="n"/>
      <c r="L481" s="6" t="n"/>
      <c r="M481" s="7" t="n"/>
    </row>
    <row r="482">
      <c r="G482" s="5" t="n"/>
      <c r="H482" s="6" t="n"/>
      <c r="I482" s="6" t="n"/>
      <c r="K482" s="6" t="n"/>
      <c r="L482" s="6" t="n"/>
      <c r="M482" s="7" t="n"/>
    </row>
    <row r="483">
      <c r="G483" s="5" t="n"/>
      <c r="H483" s="6" t="n"/>
      <c r="I483" s="6" t="n"/>
      <c r="K483" s="6" t="n"/>
      <c r="L483" s="6" t="n"/>
      <c r="M483" s="7" t="n"/>
    </row>
    <row r="484">
      <c r="G484" s="5" t="n"/>
      <c r="H484" s="6" t="n"/>
      <c r="I484" s="6" t="n"/>
      <c r="K484" s="6" t="n"/>
      <c r="L484" s="6" t="n"/>
      <c r="M484" s="7" t="n"/>
    </row>
    <row r="485">
      <c r="G485" s="5" t="n"/>
      <c r="H485" s="6" t="n"/>
      <c r="I485" s="6" t="n"/>
      <c r="K485" s="6" t="n"/>
      <c r="L485" s="6" t="n"/>
      <c r="M485" s="7" t="n"/>
    </row>
    <row r="486">
      <c r="G486" s="5" t="n"/>
      <c r="H486" s="6" t="n"/>
      <c r="I486" s="6" t="n"/>
      <c r="K486" s="6" t="n"/>
      <c r="L486" s="6" t="n"/>
      <c r="M486" s="7" t="n"/>
    </row>
    <row r="487">
      <c r="G487" s="5" t="n"/>
      <c r="H487" s="6" t="n"/>
      <c r="I487" s="6" t="n"/>
      <c r="K487" s="6" t="n"/>
      <c r="L487" s="6" t="n"/>
      <c r="M487" s="7" t="n"/>
    </row>
    <row r="488">
      <c r="G488" s="5" t="n"/>
      <c r="H488" s="6" t="n"/>
      <c r="I488" s="6" t="n"/>
      <c r="K488" s="6" t="n"/>
      <c r="L488" s="6" t="n"/>
      <c r="M488" s="7" t="n"/>
    </row>
    <row r="489">
      <c r="G489" s="5" t="n"/>
      <c r="H489" s="6" t="n"/>
      <c r="I489" s="6" t="n"/>
      <c r="K489" s="6" t="n"/>
      <c r="L489" s="6" t="n"/>
      <c r="M489" s="7" t="n"/>
    </row>
    <row r="490">
      <c r="G490" s="5" t="n"/>
      <c r="H490" s="6" t="n"/>
      <c r="I490" s="6" t="n"/>
      <c r="K490" s="6" t="n"/>
      <c r="L490" s="6" t="n"/>
      <c r="M490" s="7" t="n"/>
    </row>
    <row r="491">
      <c r="G491" s="5" t="n"/>
      <c r="H491" s="6" t="n"/>
      <c r="I491" s="6" t="n"/>
      <c r="K491" s="6" t="n"/>
      <c r="L491" s="6" t="n"/>
      <c r="M491" s="7" t="n"/>
    </row>
    <row r="492">
      <c r="G492" s="5" t="n"/>
      <c r="H492" s="6" t="n"/>
      <c r="I492" s="6" t="n"/>
      <c r="K492" s="6" t="n"/>
      <c r="L492" s="6" t="n"/>
      <c r="M492" s="7" t="n"/>
    </row>
    <row r="493">
      <c r="G493" s="5" t="n"/>
      <c r="H493" s="6" t="n"/>
      <c r="I493" s="6" t="n"/>
      <c r="K493" s="6" t="n"/>
      <c r="L493" s="6" t="n"/>
      <c r="M493" s="7" t="n"/>
    </row>
    <row r="494">
      <c r="G494" s="5" t="n"/>
      <c r="H494" s="6" t="n"/>
      <c r="I494" s="6" t="n"/>
      <c r="K494" s="6" t="n"/>
      <c r="L494" s="6" t="n"/>
      <c r="M494" s="7" t="n"/>
    </row>
    <row r="495">
      <c r="G495" s="5" t="n"/>
      <c r="H495" s="6" t="n"/>
      <c r="I495" s="6" t="n"/>
      <c r="K495" s="6" t="n"/>
      <c r="L495" s="6" t="n"/>
      <c r="M495" s="7" t="n"/>
    </row>
    <row r="496">
      <c r="G496" s="5" t="n"/>
      <c r="H496" s="6" t="n"/>
      <c r="I496" s="6" t="n"/>
      <c r="K496" s="6" t="n"/>
      <c r="L496" s="6" t="n"/>
      <c r="M496" s="7" t="n"/>
    </row>
    <row r="497">
      <c r="G497" s="5" t="n"/>
      <c r="H497" s="6" t="n"/>
      <c r="I497" s="6" t="n"/>
      <c r="K497" s="6" t="n"/>
      <c r="L497" s="6" t="n"/>
      <c r="M497" s="7" t="n"/>
    </row>
    <row r="498">
      <c r="G498" s="5" t="n"/>
      <c r="H498" s="6" t="n"/>
      <c r="I498" s="6" t="n"/>
      <c r="K498" s="6" t="n"/>
      <c r="L498" s="6" t="n"/>
      <c r="M498" s="7" t="n"/>
    </row>
    <row r="499">
      <c r="G499" s="5" t="n"/>
      <c r="H499" s="6" t="n"/>
      <c r="I499" s="6" t="n"/>
      <c r="K499" s="6" t="n"/>
      <c r="L499" s="6" t="n"/>
      <c r="M499" s="7" t="n"/>
    </row>
    <row r="500">
      <c r="G500" s="5" t="n"/>
      <c r="H500" s="6" t="n"/>
      <c r="I500" s="6" t="n"/>
      <c r="K500" s="6" t="n"/>
      <c r="L500" s="6" t="n"/>
      <c r="M500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7" customWidth="1" min="8" max="8"/>
    <col width="20" customWidth="1" min="9" max="9"/>
    <col width="13" customWidth="1" min="10" max="10"/>
    <col width="19" customWidth="1" min="11" max="11"/>
    <col width="26" customWidth="1" min="12" max="12"/>
    <col width="10" customWidth="1" min="13" max="13"/>
  </cols>
  <sheetData>
    <row r="1" ht="22" customHeight="1">
      <c r="A1" s="4" t="inlineStr">
        <is>
          <t>LiabilityID</t>
        </is>
      </c>
      <c r="B1" s="4" t="inlineStr">
        <is>
          <t>ClientID</t>
        </is>
      </c>
      <c r="C1" s="4" t="inlineStr">
        <is>
          <t>Type</t>
        </is>
      </c>
      <c r="D1" s="4" t="inlineStr">
        <is>
          <t>Provider</t>
        </is>
      </c>
      <c r="E1" s="4" t="inlineStr">
        <is>
          <t>Currency</t>
        </is>
      </c>
      <c r="F1" s="4" t="inlineStr">
        <is>
          <t>Balance</t>
        </is>
      </c>
      <c r="G1" s="4" t="inlineStr">
        <is>
          <t>InterestRate</t>
        </is>
      </c>
      <c r="H1" s="4" t="inlineStr">
        <is>
          <t>RepaymentAmount</t>
        </is>
      </c>
      <c r="I1" s="4" t="inlineStr">
        <is>
          <t>RepaymentFrequency</t>
        </is>
      </c>
      <c r="J1" s="4" t="inlineStr">
        <is>
          <t>TermEndDate</t>
        </is>
      </c>
      <c r="K1" s="4" t="inlineStr">
        <is>
          <t>IsFixedOrVariable</t>
        </is>
      </c>
      <c r="L1" s="4" t="inlineStr">
        <is>
          <t>SecuredAgainstPropertyID</t>
        </is>
      </c>
      <c r="M1" s="4" t="inlineStr">
        <is>
          <t>Notes</t>
        </is>
      </c>
    </row>
    <row r="2">
      <c r="F2" s="6" t="n"/>
      <c r="G2" s="7" t="n"/>
      <c r="H2" s="6" t="n"/>
      <c r="J2" s="5" t="n"/>
    </row>
    <row r="3">
      <c r="F3" s="6" t="n"/>
      <c r="G3" s="7" t="n"/>
      <c r="H3" s="6" t="n"/>
      <c r="J3" s="5" t="n"/>
    </row>
    <row r="4">
      <c r="F4" s="6" t="n"/>
      <c r="G4" s="7" t="n"/>
      <c r="H4" s="6" t="n"/>
      <c r="J4" s="5" t="n"/>
    </row>
    <row r="5">
      <c r="F5" s="6" t="n"/>
      <c r="G5" s="7" t="n"/>
      <c r="H5" s="6" t="n"/>
      <c r="J5" s="5" t="n"/>
    </row>
    <row r="6">
      <c r="F6" s="6" t="n"/>
      <c r="G6" s="7" t="n"/>
      <c r="H6" s="6" t="n"/>
      <c r="J6" s="5" t="n"/>
    </row>
    <row r="7">
      <c r="F7" s="6" t="n"/>
      <c r="G7" s="7" t="n"/>
      <c r="H7" s="6" t="n"/>
      <c r="J7" s="5" t="n"/>
    </row>
    <row r="8">
      <c r="F8" s="6" t="n"/>
      <c r="G8" s="7" t="n"/>
      <c r="H8" s="6" t="n"/>
      <c r="J8" s="5" t="n"/>
    </row>
    <row r="9">
      <c r="F9" s="6" t="n"/>
      <c r="G9" s="7" t="n"/>
      <c r="H9" s="6" t="n"/>
      <c r="J9" s="5" t="n"/>
    </row>
    <row r="10">
      <c r="F10" s="6" t="n"/>
      <c r="G10" s="7" t="n"/>
      <c r="H10" s="6" t="n"/>
      <c r="J10" s="5" t="n"/>
    </row>
    <row r="11">
      <c r="F11" s="6" t="n"/>
      <c r="G11" s="7" t="n"/>
      <c r="H11" s="6" t="n"/>
      <c r="J11" s="5" t="n"/>
    </row>
    <row r="12">
      <c r="F12" s="6" t="n"/>
      <c r="G12" s="7" t="n"/>
      <c r="H12" s="6" t="n"/>
      <c r="J12" s="5" t="n"/>
    </row>
    <row r="13">
      <c r="F13" s="6" t="n"/>
      <c r="G13" s="7" t="n"/>
      <c r="H13" s="6" t="n"/>
      <c r="J13" s="5" t="n"/>
    </row>
    <row r="14">
      <c r="F14" s="6" t="n"/>
      <c r="G14" s="7" t="n"/>
      <c r="H14" s="6" t="n"/>
      <c r="J14" s="5" t="n"/>
    </row>
    <row r="15">
      <c r="F15" s="6" t="n"/>
      <c r="G15" s="7" t="n"/>
      <c r="H15" s="6" t="n"/>
      <c r="J15" s="5" t="n"/>
    </row>
    <row r="16">
      <c r="F16" s="6" t="n"/>
      <c r="G16" s="7" t="n"/>
      <c r="H16" s="6" t="n"/>
      <c r="J16" s="5" t="n"/>
    </row>
    <row r="17">
      <c r="F17" s="6" t="n"/>
      <c r="G17" s="7" t="n"/>
      <c r="H17" s="6" t="n"/>
      <c r="J17" s="5" t="n"/>
    </row>
    <row r="18">
      <c r="F18" s="6" t="n"/>
      <c r="G18" s="7" t="n"/>
      <c r="H18" s="6" t="n"/>
      <c r="J18" s="5" t="n"/>
    </row>
    <row r="19">
      <c r="F19" s="6" t="n"/>
      <c r="G19" s="7" t="n"/>
      <c r="H19" s="6" t="n"/>
      <c r="J19" s="5" t="n"/>
    </row>
    <row r="20">
      <c r="F20" s="6" t="n"/>
      <c r="G20" s="7" t="n"/>
      <c r="H20" s="6" t="n"/>
      <c r="J20" s="5" t="n"/>
    </row>
    <row r="21">
      <c r="F21" s="6" t="n"/>
      <c r="G21" s="7" t="n"/>
      <c r="H21" s="6" t="n"/>
      <c r="J21" s="5" t="n"/>
    </row>
    <row r="22">
      <c r="F22" s="6" t="n"/>
      <c r="G22" s="7" t="n"/>
      <c r="H22" s="6" t="n"/>
      <c r="J22" s="5" t="n"/>
    </row>
    <row r="23">
      <c r="F23" s="6" t="n"/>
      <c r="G23" s="7" t="n"/>
      <c r="H23" s="6" t="n"/>
      <c r="J23" s="5" t="n"/>
    </row>
    <row r="24">
      <c r="F24" s="6" t="n"/>
      <c r="G24" s="7" t="n"/>
      <c r="H24" s="6" t="n"/>
      <c r="J24" s="5" t="n"/>
    </row>
    <row r="25">
      <c r="F25" s="6" t="n"/>
      <c r="G25" s="7" t="n"/>
      <c r="H25" s="6" t="n"/>
      <c r="J25" s="5" t="n"/>
    </row>
    <row r="26">
      <c r="F26" s="6" t="n"/>
      <c r="G26" s="7" t="n"/>
      <c r="H26" s="6" t="n"/>
      <c r="J26" s="5" t="n"/>
    </row>
    <row r="27">
      <c r="F27" s="6" t="n"/>
      <c r="G27" s="7" t="n"/>
      <c r="H27" s="6" t="n"/>
      <c r="J27" s="5" t="n"/>
    </row>
    <row r="28">
      <c r="F28" s="6" t="n"/>
      <c r="G28" s="7" t="n"/>
      <c r="H28" s="6" t="n"/>
      <c r="J28" s="5" t="n"/>
    </row>
    <row r="29">
      <c r="F29" s="6" t="n"/>
      <c r="G29" s="7" t="n"/>
      <c r="H29" s="6" t="n"/>
      <c r="J29" s="5" t="n"/>
    </row>
    <row r="30">
      <c r="F30" s="6" t="n"/>
      <c r="G30" s="7" t="n"/>
      <c r="H30" s="6" t="n"/>
      <c r="J30" s="5" t="n"/>
    </row>
    <row r="31">
      <c r="F31" s="6" t="n"/>
      <c r="G31" s="7" t="n"/>
      <c r="H31" s="6" t="n"/>
      <c r="J31" s="5" t="n"/>
    </row>
    <row r="32">
      <c r="F32" s="6" t="n"/>
      <c r="G32" s="7" t="n"/>
      <c r="H32" s="6" t="n"/>
      <c r="J32" s="5" t="n"/>
    </row>
    <row r="33">
      <c r="F33" s="6" t="n"/>
      <c r="G33" s="7" t="n"/>
      <c r="H33" s="6" t="n"/>
      <c r="J33" s="5" t="n"/>
    </row>
    <row r="34">
      <c r="F34" s="6" t="n"/>
      <c r="G34" s="7" t="n"/>
      <c r="H34" s="6" t="n"/>
      <c r="J34" s="5" t="n"/>
    </row>
    <row r="35">
      <c r="F35" s="6" t="n"/>
      <c r="G35" s="7" t="n"/>
      <c r="H35" s="6" t="n"/>
      <c r="J35" s="5" t="n"/>
    </row>
    <row r="36">
      <c r="F36" s="6" t="n"/>
      <c r="G36" s="7" t="n"/>
      <c r="H36" s="6" t="n"/>
      <c r="J36" s="5" t="n"/>
    </row>
    <row r="37">
      <c r="F37" s="6" t="n"/>
      <c r="G37" s="7" t="n"/>
      <c r="H37" s="6" t="n"/>
      <c r="J37" s="5" t="n"/>
    </row>
    <row r="38">
      <c r="F38" s="6" t="n"/>
      <c r="G38" s="7" t="n"/>
      <c r="H38" s="6" t="n"/>
      <c r="J38" s="5" t="n"/>
    </row>
    <row r="39">
      <c r="F39" s="6" t="n"/>
      <c r="G39" s="7" t="n"/>
      <c r="H39" s="6" t="n"/>
      <c r="J39" s="5" t="n"/>
    </row>
    <row r="40">
      <c r="F40" s="6" t="n"/>
      <c r="G40" s="7" t="n"/>
      <c r="H40" s="6" t="n"/>
      <c r="J40" s="5" t="n"/>
    </row>
    <row r="41">
      <c r="F41" s="6" t="n"/>
      <c r="G41" s="7" t="n"/>
      <c r="H41" s="6" t="n"/>
      <c r="J41" s="5" t="n"/>
    </row>
    <row r="42">
      <c r="F42" s="6" t="n"/>
      <c r="G42" s="7" t="n"/>
      <c r="H42" s="6" t="n"/>
      <c r="J42" s="5" t="n"/>
    </row>
    <row r="43">
      <c r="F43" s="6" t="n"/>
      <c r="G43" s="7" t="n"/>
      <c r="H43" s="6" t="n"/>
      <c r="J43" s="5" t="n"/>
    </row>
    <row r="44">
      <c r="F44" s="6" t="n"/>
      <c r="G44" s="7" t="n"/>
      <c r="H44" s="6" t="n"/>
      <c r="J44" s="5" t="n"/>
    </row>
    <row r="45">
      <c r="F45" s="6" t="n"/>
      <c r="G45" s="7" t="n"/>
      <c r="H45" s="6" t="n"/>
      <c r="J45" s="5" t="n"/>
    </row>
    <row r="46">
      <c r="F46" s="6" t="n"/>
      <c r="G46" s="7" t="n"/>
      <c r="H46" s="6" t="n"/>
      <c r="J46" s="5" t="n"/>
    </row>
    <row r="47">
      <c r="F47" s="6" t="n"/>
      <c r="G47" s="7" t="n"/>
      <c r="H47" s="6" t="n"/>
      <c r="J47" s="5" t="n"/>
    </row>
    <row r="48">
      <c r="F48" s="6" t="n"/>
      <c r="G48" s="7" t="n"/>
      <c r="H48" s="6" t="n"/>
      <c r="J48" s="5" t="n"/>
    </row>
    <row r="49">
      <c r="F49" s="6" t="n"/>
      <c r="G49" s="7" t="n"/>
      <c r="H49" s="6" t="n"/>
      <c r="J49" s="5" t="n"/>
    </row>
    <row r="50">
      <c r="F50" s="6" t="n"/>
      <c r="G50" s="7" t="n"/>
      <c r="H50" s="6" t="n"/>
      <c r="J50" s="5" t="n"/>
    </row>
    <row r="51">
      <c r="F51" s="6" t="n"/>
      <c r="G51" s="7" t="n"/>
      <c r="H51" s="6" t="n"/>
      <c r="J51" s="5" t="n"/>
    </row>
    <row r="52">
      <c r="F52" s="6" t="n"/>
      <c r="G52" s="7" t="n"/>
      <c r="H52" s="6" t="n"/>
      <c r="J52" s="5" t="n"/>
    </row>
    <row r="53">
      <c r="F53" s="6" t="n"/>
      <c r="G53" s="7" t="n"/>
      <c r="H53" s="6" t="n"/>
      <c r="J53" s="5" t="n"/>
    </row>
    <row r="54">
      <c r="F54" s="6" t="n"/>
      <c r="G54" s="7" t="n"/>
      <c r="H54" s="6" t="n"/>
      <c r="J54" s="5" t="n"/>
    </row>
    <row r="55">
      <c r="F55" s="6" t="n"/>
      <c r="G55" s="7" t="n"/>
      <c r="H55" s="6" t="n"/>
      <c r="J55" s="5" t="n"/>
    </row>
    <row r="56">
      <c r="F56" s="6" t="n"/>
      <c r="G56" s="7" t="n"/>
      <c r="H56" s="6" t="n"/>
      <c r="J56" s="5" t="n"/>
    </row>
    <row r="57">
      <c r="F57" s="6" t="n"/>
      <c r="G57" s="7" t="n"/>
      <c r="H57" s="6" t="n"/>
      <c r="J57" s="5" t="n"/>
    </row>
    <row r="58">
      <c r="F58" s="6" t="n"/>
      <c r="G58" s="7" t="n"/>
      <c r="H58" s="6" t="n"/>
      <c r="J58" s="5" t="n"/>
    </row>
    <row r="59">
      <c r="F59" s="6" t="n"/>
      <c r="G59" s="7" t="n"/>
      <c r="H59" s="6" t="n"/>
      <c r="J59" s="5" t="n"/>
    </row>
    <row r="60">
      <c r="F60" s="6" t="n"/>
      <c r="G60" s="7" t="n"/>
      <c r="H60" s="6" t="n"/>
      <c r="J60" s="5" t="n"/>
    </row>
    <row r="61">
      <c r="F61" s="6" t="n"/>
      <c r="G61" s="7" t="n"/>
      <c r="H61" s="6" t="n"/>
      <c r="J61" s="5" t="n"/>
    </row>
    <row r="62">
      <c r="F62" s="6" t="n"/>
      <c r="G62" s="7" t="n"/>
      <c r="H62" s="6" t="n"/>
      <c r="J62" s="5" t="n"/>
    </row>
    <row r="63">
      <c r="F63" s="6" t="n"/>
      <c r="G63" s="7" t="n"/>
      <c r="H63" s="6" t="n"/>
      <c r="J63" s="5" t="n"/>
    </row>
    <row r="64">
      <c r="F64" s="6" t="n"/>
      <c r="G64" s="7" t="n"/>
      <c r="H64" s="6" t="n"/>
      <c r="J64" s="5" t="n"/>
    </row>
    <row r="65">
      <c r="F65" s="6" t="n"/>
      <c r="G65" s="7" t="n"/>
      <c r="H65" s="6" t="n"/>
      <c r="J65" s="5" t="n"/>
    </row>
    <row r="66">
      <c r="F66" s="6" t="n"/>
      <c r="G66" s="7" t="n"/>
      <c r="H66" s="6" t="n"/>
      <c r="J66" s="5" t="n"/>
    </row>
    <row r="67">
      <c r="F67" s="6" t="n"/>
      <c r="G67" s="7" t="n"/>
      <c r="H67" s="6" t="n"/>
      <c r="J67" s="5" t="n"/>
    </row>
    <row r="68">
      <c r="F68" s="6" t="n"/>
      <c r="G68" s="7" t="n"/>
      <c r="H68" s="6" t="n"/>
      <c r="J68" s="5" t="n"/>
    </row>
    <row r="69">
      <c r="F69" s="6" t="n"/>
      <c r="G69" s="7" t="n"/>
      <c r="H69" s="6" t="n"/>
      <c r="J69" s="5" t="n"/>
    </row>
    <row r="70">
      <c r="F70" s="6" t="n"/>
      <c r="G70" s="7" t="n"/>
      <c r="H70" s="6" t="n"/>
      <c r="J70" s="5" t="n"/>
    </row>
    <row r="71">
      <c r="F71" s="6" t="n"/>
      <c r="G71" s="7" t="n"/>
      <c r="H71" s="6" t="n"/>
      <c r="J71" s="5" t="n"/>
    </row>
    <row r="72">
      <c r="F72" s="6" t="n"/>
      <c r="G72" s="7" t="n"/>
      <c r="H72" s="6" t="n"/>
      <c r="J72" s="5" t="n"/>
    </row>
    <row r="73">
      <c r="F73" s="6" t="n"/>
      <c r="G73" s="7" t="n"/>
      <c r="H73" s="6" t="n"/>
      <c r="J73" s="5" t="n"/>
    </row>
    <row r="74">
      <c r="F74" s="6" t="n"/>
      <c r="G74" s="7" t="n"/>
      <c r="H74" s="6" t="n"/>
      <c r="J74" s="5" t="n"/>
    </row>
    <row r="75">
      <c r="F75" s="6" t="n"/>
      <c r="G75" s="7" t="n"/>
      <c r="H75" s="6" t="n"/>
      <c r="J75" s="5" t="n"/>
    </row>
    <row r="76">
      <c r="F76" s="6" t="n"/>
      <c r="G76" s="7" t="n"/>
      <c r="H76" s="6" t="n"/>
      <c r="J76" s="5" t="n"/>
    </row>
    <row r="77">
      <c r="F77" s="6" t="n"/>
      <c r="G77" s="7" t="n"/>
      <c r="H77" s="6" t="n"/>
      <c r="J77" s="5" t="n"/>
    </row>
    <row r="78">
      <c r="F78" s="6" t="n"/>
      <c r="G78" s="7" t="n"/>
      <c r="H78" s="6" t="n"/>
      <c r="J78" s="5" t="n"/>
    </row>
    <row r="79">
      <c r="F79" s="6" t="n"/>
      <c r="G79" s="7" t="n"/>
      <c r="H79" s="6" t="n"/>
      <c r="J79" s="5" t="n"/>
    </row>
    <row r="80">
      <c r="F80" s="6" t="n"/>
      <c r="G80" s="7" t="n"/>
      <c r="H80" s="6" t="n"/>
      <c r="J80" s="5" t="n"/>
    </row>
    <row r="81">
      <c r="F81" s="6" t="n"/>
      <c r="G81" s="7" t="n"/>
      <c r="H81" s="6" t="n"/>
      <c r="J81" s="5" t="n"/>
    </row>
    <row r="82">
      <c r="F82" s="6" t="n"/>
      <c r="G82" s="7" t="n"/>
      <c r="H82" s="6" t="n"/>
      <c r="J82" s="5" t="n"/>
    </row>
    <row r="83">
      <c r="F83" s="6" t="n"/>
      <c r="G83" s="7" t="n"/>
      <c r="H83" s="6" t="n"/>
      <c r="J83" s="5" t="n"/>
    </row>
    <row r="84">
      <c r="F84" s="6" t="n"/>
      <c r="G84" s="7" t="n"/>
      <c r="H84" s="6" t="n"/>
      <c r="J84" s="5" t="n"/>
    </row>
    <row r="85">
      <c r="F85" s="6" t="n"/>
      <c r="G85" s="7" t="n"/>
      <c r="H85" s="6" t="n"/>
      <c r="J85" s="5" t="n"/>
    </row>
    <row r="86">
      <c r="F86" s="6" t="n"/>
      <c r="G86" s="7" t="n"/>
      <c r="H86" s="6" t="n"/>
      <c r="J86" s="5" t="n"/>
    </row>
    <row r="87">
      <c r="F87" s="6" t="n"/>
      <c r="G87" s="7" t="n"/>
      <c r="H87" s="6" t="n"/>
      <c r="J87" s="5" t="n"/>
    </row>
    <row r="88">
      <c r="F88" s="6" t="n"/>
      <c r="G88" s="7" t="n"/>
      <c r="H88" s="6" t="n"/>
      <c r="J88" s="5" t="n"/>
    </row>
    <row r="89">
      <c r="F89" s="6" t="n"/>
      <c r="G89" s="7" t="n"/>
      <c r="H89" s="6" t="n"/>
      <c r="J89" s="5" t="n"/>
    </row>
    <row r="90">
      <c r="F90" s="6" t="n"/>
      <c r="G90" s="7" t="n"/>
      <c r="H90" s="6" t="n"/>
      <c r="J90" s="5" t="n"/>
    </row>
    <row r="91">
      <c r="F91" s="6" t="n"/>
      <c r="G91" s="7" t="n"/>
      <c r="H91" s="6" t="n"/>
      <c r="J91" s="5" t="n"/>
    </row>
    <row r="92">
      <c r="F92" s="6" t="n"/>
      <c r="G92" s="7" t="n"/>
      <c r="H92" s="6" t="n"/>
      <c r="J92" s="5" t="n"/>
    </row>
    <row r="93">
      <c r="F93" s="6" t="n"/>
      <c r="G93" s="7" t="n"/>
      <c r="H93" s="6" t="n"/>
      <c r="J93" s="5" t="n"/>
    </row>
    <row r="94">
      <c r="F94" s="6" t="n"/>
      <c r="G94" s="7" t="n"/>
      <c r="H94" s="6" t="n"/>
      <c r="J94" s="5" t="n"/>
    </row>
    <row r="95">
      <c r="F95" s="6" t="n"/>
      <c r="G95" s="7" t="n"/>
      <c r="H95" s="6" t="n"/>
      <c r="J95" s="5" t="n"/>
    </row>
    <row r="96">
      <c r="F96" s="6" t="n"/>
      <c r="G96" s="7" t="n"/>
      <c r="H96" s="6" t="n"/>
      <c r="J96" s="5" t="n"/>
    </row>
    <row r="97">
      <c r="F97" s="6" t="n"/>
      <c r="G97" s="7" t="n"/>
      <c r="H97" s="6" t="n"/>
      <c r="J97" s="5" t="n"/>
    </row>
    <row r="98">
      <c r="F98" s="6" t="n"/>
      <c r="G98" s="7" t="n"/>
      <c r="H98" s="6" t="n"/>
      <c r="J98" s="5" t="n"/>
    </row>
    <row r="99">
      <c r="F99" s="6" t="n"/>
      <c r="G99" s="7" t="n"/>
      <c r="H99" s="6" t="n"/>
      <c r="J99" s="5" t="n"/>
    </row>
    <row r="100">
      <c r="F100" s="6" t="n"/>
      <c r="G100" s="7" t="n"/>
      <c r="H100" s="6" t="n"/>
      <c r="J100" s="5" t="n"/>
    </row>
    <row r="101">
      <c r="F101" s="6" t="n"/>
      <c r="G101" s="7" t="n"/>
      <c r="H101" s="6" t="n"/>
      <c r="J101" s="5" t="n"/>
    </row>
    <row r="102">
      <c r="F102" s="6" t="n"/>
      <c r="G102" s="7" t="n"/>
      <c r="H102" s="6" t="n"/>
      <c r="J102" s="5" t="n"/>
    </row>
    <row r="103">
      <c r="F103" s="6" t="n"/>
      <c r="G103" s="7" t="n"/>
      <c r="H103" s="6" t="n"/>
      <c r="J103" s="5" t="n"/>
    </row>
    <row r="104">
      <c r="F104" s="6" t="n"/>
      <c r="G104" s="7" t="n"/>
      <c r="H104" s="6" t="n"/>
      <c r="J104" s="5" t="n"/>
    </row>
    <row r="105">
      <c r="F105" s="6" t="n"/>
      <c r="G105" s="7" t="n"/>
      <c r="H105" s="6" t="n"/>
      <c r="J105" s="5" t="n"/>
    </row>
    <row r="106">
      <c r="F106" s="6" t="n"/>
      <c r="G106" s="7" t="n"/>
      <c r="H106" s="6" t="n"/>
      <c r="J106" s="5" t="n"/>
    </row>
    <row r="107">
      <c r="F107" s="6" t="n"/>
      <c r="G107" s="7" t="n"/>
      <c r="H107" s="6" t="n"/>
      <c r="J107" s="5" t="n"/>
    </row>
    <row r="108">
      <c r="F108" s="6" t="n"/>
      <c r="G108" s="7" t="n"/>
      <c r="H108" s="6" t="n"/>
      <c r="J108" s="5" t="n"/>
    </row>
    <row r="109">
      <c r="F109" s="6" t="n"/>
      <c r="G109" s="7" t="n"/>
      <c r="H109" s="6" t="n"/>
      <c r="J109" s="5" t="n"/>
    </row>
    <row r="110">
      <c r="F110" s="6" t="n"/>
      <c r="G110" s="7" t="n"/>
      <c r="H110" s="6" t="n"/>
      <c r="J110" s="5" t="n"/>
    </row>
    <row r="111">
      <c r="F111" s="6" t="n"/>
      <c r="G111" s="7" t="n"/>
      <c r="H111" s="6" t="n"/>
      <c r="J111" s="5" t="n"/>
    </row>
    <row r="112">
      <c r="F112" s="6" t="n"/>
      <c r="G112" s="7" t="n"/>
      <c r="H112" s="6" t="n"/>
      <c r="J112" s="5" t="n"/>
    </row>
    <row r="113">
      <c r="F113" s="6" t="n"/>
      <c r="G113" s="7" t="n"/>
      <c r="H113" s="6" t="n"/>
      <c r="J113" s="5" t="n"/>
    </row>
    <row r="114">
      <c r="F114" s="6" t="n"/>
      <c r="G114" s="7" t="n"/>
      <c r="H114" s="6" t="n"/>
      <c r="J114" s="5" t="n"/>
    </row>
    <row r="115">
      <c r="F115" s="6" t="n"/>
      <c r="G115" s="7" t="n"/>
      <c r="H115" s="6" t="n"/>
      <c r="J115" s="5" t="n"/>
    </row>
    <row r="116">
      <c r="F116" s="6" t="n"/>
      <c r="G116" s="7" t="n"/>
      <c r="H116" s="6" t="n"/>
      <c r="J116" s="5" t="n"/>
    </row>
    <row r="117">
      <c r="F117" s="6" t="n"/>
      <c r="G117" s="7" t="n"/>
      <c r="H117" s="6" t="n"/>
      <c r="J117" s="5" t="n"/>
    </row>
    <row r="118">
      <c r="F118" s="6" t="n"/>
      <c r="G118" s="7" t="n"/>
      <c r="H118" s="6" t="n"/>
      <c r="J118" s="5" t="n"/>
    </row>
    <row r="119">
      <c r="F119" s="6" t="n"/>
      <c r="G119" s="7" t="n"/>
      <c r="H119" s="6" t="n"/>
      <c r="J119" s="5" t="n"/>
    </row>
    <row r="120">
      <c r="F120" s="6" t="n"/>
      <c r="G120" s="7" t="n"/>
      <c r="H120" s="6" t="n"/>
      <c r="J120" s="5" t="n"/>
    </row>
    <row r="121">
      <c r="F121" s="6" t="n"/>
      <c r="G121" s="7" t="n"/>
      <c r="H121" s="6" t="n"/>
      <c r="J121" s="5" t="n"/>
    </row>
    <row r="122">
      <c r="F122" s="6" t="n"/>
      <c r="G122" s="7" t="n"/>
      <c r="H122" s="6" t="n"/>
      <c r="J122" s="5" t="n"/>
    </row>
    <row r="123">
      <c r="F123" s="6" t="n"/>
      <c r="G123" s="7" t="n"/>
      <c r="H123" s="6" t="n"/>
      <c r="J123" s="5" t="n"/>
    </row>
    <row r="124">
      <c r="F124" s="6" t="n"/>
      <c r="G124" s="7" t="n"/>
      <c r="H124" s="6" t="n"/>
      <c r="J124" s="5" t="n"/>
    </row>
    <row r="125">
      <c r="F125" s="6" t="n"/>
      <c r="G125" s="7" t="n"/>
      <c r="H125" s="6" t="n"/>
      <c r="J125" s="5" t="n"/>
    </row>
    <row r="126">
      <c r="F126" s="6" t="n"/>
      <c r="G126" s="7" t="n"/>
      <c r="H126" s="6" t="n"/>
      <c r="J126" s="5" t="n"/>
    </row>
    <row r="127">
      <c r="F127" s="6" t="n"/>
      <c r="G127" s="7" t="n"/>
      <c r="H127" s="6" t="n"/>
      <c r="J127" s="5" t="n"/>
    </row>
    <row r="128">
      <c r="F128" s="6" t="n"/>
      <c r="G128" s="7" t="n"/>
      <c r="H128" s="6" t="n"/>
      <c r="J128" s="5" t="n"/>
    </row>
    <row r="129">
      <c r="F129" s="6" t="n"/>
      <c r="G129" s="7" t="n"/>
      <c r="H129" s="6" t="n"/>
      <c r="J129" s="5" t="n"/>
    </row>
    <row r="130">
      <c r="F130" s="6" t="n"/>
      <c r="G130" s="7" t="n"/>
      <c r="H130" s="6" t="n"/>
      <c r="J130" s="5" t="n"/>
    </row>
    <row r="131">
      <c r="F131" s="6" t="n"/>
      <c r="G131" s="7" t="n"/>
      <c r="H131" s="6" t="n"/>
      <c r="J131" s="5" t="n"/>
    </row>
    <row r="132">
      <c r="F132" s="6" t="n"/>
      <c r="G132" s="7" t="n"/>
      <c r="H132" s="6" t="n"/>
      <c r="J132" s="5" t="n"/>
    </row>
    <row r="133">
      <c r="F133" s="6" t="n"/>
      <c r="G133" s="7" t="n"/>
      <c r="H133" s="6" t="n"/>
      <c r="J133" s="5" t="n"/>
    </row>
    <row r="134">
      <c r="F134" s="6" t="n"/>
      <c r="G134" s="7" t="n"/>
      <c r="H134" s="6" t="n"/>
      <c r="J134" s="5" t="n"/>
    </row>
    <row r="135">
      <c r="F135" s="6" t="n"/>
      <c r="G135" s="7" t="n"/>
      <c r="H135" s="6" t="n"/>
      <c r="J135" s="5" t="n"/>
    </row>
    <row r="136">
      <c r="F136" s="6" t="n"/>
      <c r="G136" s="7" t="n"/>
      <c r="H136" s="6" t="n"/>
      <c r="J136" s="5" t="n"/>
    </row>
    <row r="137">
      <c r="F137" s="6" t="n"/>
      <c r="G137" s="7" t="n"/>
      <c r="H137" s="6" t="n"/>
      <c r="J137" s="5" t="n"/>
    </row>
    <row r="138">
      <c r="F138" s="6" t="n"/>
      <c r="G138" s="7" t="n"/>
      <c r="H138" s="6" t="n"/>
      <c r="J138" s="5" t="n"/>
    </row>
    <row r="139">
      <c r="F139" s="6" t="n"/>
      <c r="G139" s="7" t="n"/>
      <c r="H139" s="6" t="n"/>
      <c r="J139" s="5" t="n"/>
    </row>
    <row r="140">
      <c r="F140" s="6" t="n"/>
      <c r="G140" s="7" t="n"/>
      <c r="H140" s="6" t="n"/>
      <c r="J140" s="5" t="n"/>
    </row>
    <row r="141">
      <c r="F141" s="6" t="n"/>
      <c r="G141" s="7" t="n"/>
      <c r="H141" s="6" t="n"/>
      <c r="J141" s="5" t="n"/>
    </row>
    <row r="142">
      <c r="F142" s="6" t="n"/>
      <c r="G142" s="7" t="n"/>
      <c r="H142" s="6" t="n"/>
      <c r="J142" s="5" t="n"/>
    </row>
    <row r="143">
      <c r="F143" s="6" t="n"/>
      <c r="G143" s="7" t="n"/>
      <c r="H143" s="6" t="n"/>
      <c r="J143" s="5" t="n"/>
    </row>
    <row r="144">
      <c r="F144" s="6" t="n"/>
      <c r="G144" s="7" t="n"/>
      <c r="H144" s="6" t="n"/>
      <c r="J144" s="5" t="n"/>
    </row>
    <row r="145">
      <c r="F145" s="6" t="n"/>
      <c r="G145" s="7" t="n"/>
      <c r="H145" s="6" t="n"/>
      <c r="J145" s="5" t="n"/>
    </row>
    <row r="146">
      <c r="F146" s="6" t="n"/>
      <c r="G146" s="7" t="n"/>
      <c r="H146" s="6" t="n"/>
      <c r="J146" s="5" t="n"/>
    </row>
    <row r="147">
      <c r="F147" s="6" t="n"/>
      <c r="G147" s="7" t="n"/>
      <c r="H147" s="6" t="n"/>
      <c r="J147" s="5" t="n"/>
    </row>
    <row r="148">
      <c r="F148" s="6" t="n"/>
      <c r="G148" s="7" t="n"/>
      <c r="H148" s="6" t="n"/>
      <c r="J148" s="5" t="n"/>
    </row>
    <row r="149">
      <c r="F149" s="6" t="n"/>
      <c r="G149" s="7" t="n"/>
      <c r="H149" s="6" t="n"/>
      <c r="J149" s="5" t="n"/>
    </row>
    <row r="150">
      <c r="F150" s="6" t="n"/>
      <c r="G150" s="7" t="n"/>
      <c r="H150" s="6" t="n"/>
      <c r="J150" s="5" t="n"/>
    </row>
    <row r="151">
      <c r="F151" s="6" t="n"/>
      <c r="G151" s="7" t="n"/>
      <c r="H151" s="6" t="n"/>
      <c r="J151" s="5" t="n"/>
    </row>
    <row r="152">
      <c r="F152" s="6" t="n"/>
      <c r="G152" s="7" t="n"/>
      <c r="H152" s="6" t="n"/>
      <c r="J152" s="5" t="n"/>
    </row>
    <row r="153">
      <c r="F153" s="6" t="n"/>
      <c r="G153" s="7" t="n"/>
      <c r="H153" s="6" t="n"/>
      <c r="J153" s="5" t="n"/>
    </row>
    <row r="154">
      <c r="F154" s="6" t="n"/>
      <c r="G154" s="7" t="n"/>
      <c r="H154" s="6" t="n"/>
      <c r="J154" s="5" t="n"/>
    </row>
    <row r="155">
      <c r="F155" s="6" t="n"/>
      <c r="G155" s="7" t="n"/>
      <c r="H155" s="6" t="n"/>
      <c r="J155" s="5" t="n"/>
    </row>
    <row r="156">
      <c r="F156" s="6" t="n"/>
      <c r="G156" s="7" t="n"/>
      <c r="H156" s="6" t="n"/>
      <c r="J156" s="5" t="n"/>
    </row>
    <row r="157">
      <c r="F157" s="6" t="n"/>
      <c r="G157" s="7" t="n"/>
      <c r="H157" s="6" t="n"/>
      <c r="J157" s="5" t="n"/>
    </row>
    <row r="158">
      <c r="F158" s="6" t="n"/>
      <c r="G158" s="7" t="n"/>
      <c r="H158" s="6" t="n"/>
      <c r="J158" s="5" t="n"/>
    </row>
    <row r="159">
      <c r="F159" s="6" t="n"/>
      <c r="G159" s="7" t="n"/>
      <c r="H159" s="6" t="n"/>
      <c r="J159" s="5" t="n"/>
    </row>
    <row r="160">
      <c r="F160" s="6" t="n"/>
      <c r="G160" s="7" t="n"/>
      <c r="H160" s="6" t="n"/>
      <c r="J160" s="5" t="n"/>
    </row>
    <row r="161">
      <c r="F161" s="6" t="n"/>
      <c r="G161" s="7" t="n"/>
      <c r="H161" s="6" t="n"/>
      <c r="J161" s="5" t="n"/>
    </row>
    <row r="162">
      <c r="F162" s="6" t="n"/>
      <c r="G162" s="7" t="n"/>
      <c r="H162" s="6" t="n"/>
      <c r="J162" s="5" t="n"/>
    </row>
    <row r="163">
      <c r="F163" s="6" t="n"/>
      <c r="G163" s="7" t="n"/>
      <c r="H163" s="6" t="n"/>
      <c r="J163" s="5" t="n"/>
    </row>
    <row r="164">
      <c r="F164" s="6" t="n"/>
      <c r="G164" s="7" t="n"/>
      <c r="H164" s="6" t="n"/>
      <c r="J164" s="5" t="n"/>
    </row>
    <row r="165">
      <c r="F165" s="6" t="n"/>
      <c r="G165" s="7" t="n"/>
      <c r="H165" s="6" t="n"/>
      <c r="J165" s="5" t="n"/>
    </row>
    <row r="166">
      <c r="F166" s="6" t="n"/>
      <c r="G166" s="7" t="n"/>
      <c r="H166" s="6" t="n"/>
      <c r="J166" s="5" t="n"/>
    </row>
    <row r="167">
      <c r="F167" s="6" t="n"/>
      <c r="G167" s="7" t="n"/>
      <c r="H167" s="6" t="n"/>
      <c r="J167" s="5" t="n"/>
    </row>
    <row r="168">
      <c r="F168" s="6" t="n"/>
      <c r="G168" s="7" t="n"/>
      <c r="H168" s="6" t="n"/>
      <c r="J168" s="5" t="n"/>
    </row>
    <row r="169">
      <c r="F169" s="6" t="n"/>
      <c r="G169" s="7" t="n"/>
      <c r="H169" s="6" t="n"/>
      <c r="J169" s="5" t="n"/>
    </row>
    <row r="170">
      <c r="F170" s="6" t="n"/>
      <c r="G170" s="7" t="n"/>
      <c r="H170" s="6" t="n"/>
      <c r="J170" s="5" t="n"/>
    </row>
    <row r="171">
      <c r="F171" s="6" t="n"/>
      <c r="G171" s="7" t="n"/>
      <c r="H171" s="6" t="n"/>
      <c r="J171" s="5" t="n"/>
    </row>
    <row r="172">
      <c r="F172" s="6" t="n"/>
      <c r="G172" s="7" t="n"/>
      <c r="H172" s="6" t="n"/>
      <c r="J172" s="5" t="n"/>
    </row>
    <row r="173">
      <c r="F173" s="6" t="n"/>
      <c r="G173" s="7" t="n"/>
      <c r="H173" s="6" t="n"/>
      <c r="J173" s="5" t="n"/>
    </row>
    <row r="174">
      <c r="F174" s="6" t="n"/>
      <c r="G174" s="7" t="n"/>
      <c r="H174" s="6" t="n"/>
      <c r="J174" s="5" t="n"/>
    </row>
    <row r="175">
      <c r="F175" s="6" t="n"/>
      <c r="G175" s="7" t="n"/>
      <c r="H175" s="6" t="n"/>
      <c r="J175" s="5" t="n"/>
    </row>
    <row r="176">
      <c r="F176" s="6" t="n"/>
      <c r="G176" s="7" t="n"/>
      <c r="H176" s="6" t="n"/>
      <c r="J176" s="5" t="n"/>
    </row>
    <row r="177">
      <c r="F177" s="6" t="n"/>
      <c r="G177" s="7" t="n"/>
      <c r="H177" s="6" t="n"/>
      <c r="J177" s="5" t="n"/>
    </row>
    <row r="178">
      <c r="F178" s="6" t="n"/>
      <c r="G178" s="7" t="n"/>
      <c r="H178" s="6" t="n"/>
      <c r="J178" s="5" t="n"/>
    </row>
    <row r="179">
      <c r="F179" s="6" t="n"/>
      <c r="G179" s="7" t="n"/>
      <c r="H179" s="6" t="n"/>
      <c r="J179" s="5" t="n"/>
    </row>
    <row r="180">
      <c r="F180" s="6" t="n"/>
      <c r="G180" s="7" t="n"/>
      <c r="H180" s="6" t="n"/>
      <c r="J180" s="5" t="n"/>
    </row>
    <row r="181">
      <c r="F181" s="6" t="n"/>
      <c r="G181" s="7" t="n"/>
      <c r="H181" s="6" t="n"/>
      <c r="J181" s="5" t="n"/>
    </row>
    <row r="182">
      <c r="F182" s="6" t="n"/>
      <c r="G182" s="7" t="n"/>
      <c r="H182" s="6" t="n"/>
      <c r="J182" s="5" t="n"/>
    </row>
    <row r="183">
      <c r="F183" s="6" t="n"/>
      <c r="G183" s="7" t="n"/>
      <c r="H183" s="6" t="n"/>
      <c r="J183" s="5" t="n"/>
    </row>
    <row r="184">
      <c r="F184" s="6" t="n"/>
      <c r="G184" s="7" t="n"/>
      <c r="H184" s="6" t="n"/>
      <c r="J184" s="5" t="n"/>
    </row>
    <row r="185">
      <c r="F185" s="6" t="n"/>
      <c r="G185" s="7" t="n"/>
      <c r="H185" s="6" t="n"/>
      <c r="J185" s="5" t="n"/>
    </row>
    <row r="186">
      <c r="F186" s="6" t="n"/>
      <c r="G186" s="7" t="n"/>
      <c r="H186" s="6" t="n"/>
      <c r="J186" s="5" t="n"/>
    </row>
    <row r="187">
      <c r="F187" s="6" t="n"/>
      <c r="G187" s="7" t="n"/>
      <c r="H187" s="6" t="n"/>
      <c r="J187" s="5" t="n"/>
    </row>
    <row r="188">
      <c r="F188" s="6" t="n"/>
      <c r="G188" s="7" t="n"/>
      <c r="H188" s="6" t="n"/>
      <c r="J188" s="5" t="n"/>
    </row>
    <row r="189">
      <c r="F189" s="6" t="n"/>
      <c r="G189" s="7" t="n"/>
      <c r="H189" s="6" t="n"/>
      <c r="J189" s="5" t="n"/>
    </row>
    <row r="190">
      <c r="F190" s="6" t="n"/>
      <c r="G190" s="7" t="n"/>
      <c r="H190" s="6" t="n"/>
      <c r="J190" s="5" t="n"/>
    </row>
    <row r="191">
      <c r="F191" s="6" t="n"/>
      <c r="G191" s="7" t="n"/>
      <c r="H191" s="6" t="n"/>
      <c r="J191" s="5" t="n"/>
    </row>
    <row r="192">
      <c r="F192" s="6" t="n"/>
      <c r="G192" s="7" t="n"/>
      <c r="H192" s="6" t="n"/>
      <c r="J192" s="5" t="n"/>
    </row>
    <row r="193">
      <c r="F193" s="6" t="n"/>
      <c r="G193" s="7" t="n"/>
      <c r="H193" s="6" t="n"/>
      <c r="J193" s="5" t="n"/>
    </row>
    <row r="194">
      <c r="F194" s="6" t="n"/>
      <c r="G194" s="7" t="n"/>
      <c r="H194" s="6" t="n"/>
      <c r="J194" s="5" t="n"/>
    </row>
    <row r="195">
      <c r="F195" s="6" t="n"/>
      <c r="G195" s="7" t="n"/>
      <c r="H195" s="6" t="n"/>
      <c r="J195" s="5" t="n"/>
    </row>
    <row r="196">
      <c r="F196" s="6" t="n"/>
      <c r="G196" s="7" t="n"/>
      <c r="H196" s="6" t="n"/>
      <c r="J196" s="5" t="n"/>
    </row>
    <row r="197">
      <c r="F197" s="6" t="n"/>
      <c r="G197" s="7" t="n"/>
      <c r="H197" s="6" t="n"/>
      <c r="J197" s="5" t="n"/>
    </row>
    <row r="198">
      <c r="F198" s="6" t="n"/>
      <c r="G198" s="7" t="n"/>
      <c r="H198" s="6" t="n"/>
      <c r="J198" s="5" t="n"/>
    </row>
    <row r="199">
      <c r="F199" s="6" t="n"/>
      <c r="G199" s="7" t="n"/>
      <c r="H199" s="6" t="n"/>
      <c r="J199" s="5" t="n"/>
    </row>
    <row r="200">
      <c r="F200" s="6" t="n"/>
      <c r="G200" s="7" t="n"/>
      <c r="H200" s="6" t="n"/>
      <c r="J200" s="5" t="n"/>
    </row>
    <row r="201">
      <c r="F201" s="6" t="n"/>
      <c r="G201" s="7" t="n"/>
      <c r="H201" s="6" t="n"/>
      <c r="J201" s="5" t="n"/>
    </row>
    <row r="202">
      <c r="F202" s="6" t="n"/>
      <c r="G202" s="7" t="n"/>
      <c r="H202" s="6" t="n"/>
      <c r="J202" s="5" t="n"/>
    </row>
    <row r="203">
      <c r="F203" s="6" t="n"/>
      <c r="G203" s="7" t="n"/>
      <c r="H203" s="6" t="n"/>
      <c r="J203" s="5" t="n"/>
    </row>
    <row r="204">
      <c r="F204" s="6" t="n"/>
      <c r="G204" s="7" t="n"/>
      <c r="H204" s="6" t="n"/>
      <c r="J204" s="5" t="n"/>
    </row>
    <row r="205">
      <c r="F205" s="6" t="n"/>
      <c r="G205" s="7" t="n"/>
      <c r="H205" s="6" t="n"/>
      <c r="J205" s="5" t="n"/>
    </row>
    <row r="206">
      <c r="F206" s="6" t="n"/>
      <c r="G206" s="7" t="n"/>
      <c r="H206" s="6" t="n"/>
      <c r="J206" s="5" t="n"/>
    </row>
    <row r="207">
      <c r="F207" s="6" t="n"/>
      <c r="G207" s="7" t="n"/>
      <c r="H207" s="6" t="n"/>
      <c r="J207" s="5" t="n"/>
    </row>
    <row r="208">
      <c r="F208" s="6" t="n"/>
      <c r="G208" s="7" t="n"/>
      <c r="H208" s="6" t="n"/>
      <c r="J208" s="5" t="n"/>
    </row>
    <row r="209">
      <c r="F209" s="6" t="n"/>
      <c r="G209" s="7" t="n"/>
      <c r="H209" s="6" t="n"/>
      <c r="J209" s="5" t="n"/>
    </row>
    <row r="210">
      <c r="F210" s="6" t="n"/>
      <c r="G210" s="7" t="n"/>
      <c r="H210" s="6" t="n"/>
      <c r="J210" s="5" t="n"/>
    </row>
    <row r="211">
      <c r="F211" s="6" t="n"/>
      <c r="G211" s="7" t="n"/>
      <c r="H211" s="6" t="n"/>
      <c r="J211" s="5" t="n"/>
    </row>
    <row r="212">
      <c r="F212" s="6" t="n"/>
      <c r="G212" s="7" t="n"/>
      <c r="H212" s="6" t="n"/>
      <c r="J212" s="5" t="n"/>
    </row>
    <row r="213">
      <c r="F213" s="6" t="n"/>
      <c r="G213" s="7" t="n"/>
      <c r="H213" s="6" t="n"/>
      <c r="J213" s="5" t="n"/>
    </row>
    <row r="214">
      <c r="F214" s="6" t="n"/>
      <c r="G214" s="7" t="n"/>
      <c r="H214" s="6" t="n"/>
      <c r="J214" s="5" t="n"/>
    </row>
    <row r="215">
      <c r="F215" s="6" t="n"/>
      <c r="G215" s="7" t="n"/>
      <c r="H215" s="6" t="n"/>
      <c r="J215" s="5" t="n"/>
    </row>
    <row r="216">
      <c r="F216" s="6" t="n"/>
      <c r="G216" s="7" t="n"/>
      <c r="H216" s="6" t="n"/>
      <c r="J216" s="5" t="n"/>
    </row>
    <row r="217">
      <c r="F217" s="6" t="n"/>
      <c r="G217" s="7" t="n"/>
      <c r="H217" s="6" t="n"/>
      <c r="J217" s="5" t="n"/>
    </row>
    <row r="218">
      <c r="F218" s="6" t="n"/>
      <c r="G218" s="7" t="n"/>
      <c r="H218" s="6" t="n"/>
      <c r="J218" s="5" t="n"/>
    </row>
    <row r="219">
      <c r="F219" s="6" t="n"/>
      <c r="G219" s="7" t="n"/>
      <c r="H219" s="6" t="n"/>
      <c r="J219" s="5" t="n"/>
    </row>
    <row r="220">
      <c r="F220" s="6" t="n"/>
      <c r="G220" s="7" t="n"/>
      <c r="H220" s="6" t="n"/>
      <c r="J220" s="5" t="n"/>
    </row>
    <row r="221">
      <c r="F221" s="6" t="n"/>
      <c r="G221" s="7" t="n"/>
      <c r="H221" s="6" t="n"/>
      <c r="J221" s="5" t="n"/>
    </row>
    <row r="222">
      <c r="F222" s="6" t="n"/>
      <c r="G222" s="7" t="n"/>
      <c r="H222" s="6" t="n"/>
      <c r="J222" s="5" t="n"/>
    </row>
    <row r="223">
      <c r="F223" s="6" t="n"/>
      <c r="G223" s="7" t="n"/>
      <c r="H223" s="6" t="n"/>
      <c r="J223" s="5" t="n"/>
    </row>
    <row r="224">
      <c r="F224" s="6" t="n"/>
      <c r="G224" s="7" t="n"/>
      <c r="H224" s="6" t="n"/>
      <c r="J224" s="5" t="n"/>
    </row>
    <row r="225">
      <c r="F225" s="6" t="n"/>
      <c r="G225" s="7" t="n"/>
      <c r="H225" s="6" t="n"/>
      <c r="J225" s="5" t="n"/>
    </row>
    <row r="226">
      <c r="F226" s="6" t="n"/>
      <c r="G226" s="7" t="n"/>
      <c r="H226" s="6" t="n"/>
      <c r="J226" s="5" t="n"/>
    </row>
    <row r="227">
      <c r="F227" s="6" t="n"/>
      <c r="G227" s="7" t="n"/>
      <c r="H227" s="6" t="n"/>
      <c r="J227" s="5" t="n"/>
    </row>
    <row r="228">
      <c r="F228" s="6" t="n"/>
      <c r="G228" s="7" t="n"/>
      <c r="H228" s="6" t="n"/>
      <c r="J228" s="5" t="n"/>
    </row>
    <row r="229">
      <c r="F229" s="6" t="n"/>
      <c r="G229" s="7" t="n"/>
      <c r="H229" s="6" t="n"/>
      <c r="J229" s="5" t="n"/>
    </row>
    <row r="230">
      <c r="F230" s="6" t="n"/>
      <c r="G230" s="7" t="n"/>
      <c r="H230" s="6" t="n"/>
      <c r="J230" s="5" t="n"/>
    </row>
    <row r="231">
      <c r="F231" s="6" t="n"/>
      <c r="G231" s="7" t="n"/>
      <c r="H231" s="6" t="n"/>
      <c r="J231" s="5" t="n"/>
    </row>
    <row r="232">
      <c r="F232" s="6" t="n"/>
      <c r="G232" s="7" t="n"/>
      <c r="H232" s="6" t="n"/>
      <c r="J232" s="5" t="n"/>
    </row>
    <row r="233">
      <c r="F233" s="6" t="n"/>
      <c r="G233" s="7" t="n"/>
      <c r="H233" s="6" t="n"/>
      <c r="J233" s="5" t="n"/>
    </row>
    <row r="234">
      <c r="F234" s="6" t="n"/>
      <c r="G234" s="7" t="n"/>
      <c r="H234" s="6" t="n"/>
      <c r="J234" s="5" t="n"/>
    </row>
    <row r="235">
      <c r="F235" s="6" t="n"/>
      <c r="G235" s="7" t="n"/>
      <c r="H235" s="6" t="n"/>
      <c r="J235" s="5" t="n"/>
    </row>
    <row r="236">
      <c r="F236" s="6" t="n"/>
      <c r="G236" s="7" t="n"/>
      <c r="H236" s="6" t="n"/>
      <c r="J236" s="5" t="n"/>
    </row>
    <row r="237">
      <c r="F237" s="6" t="n"/>
      <c r="G237" s="7" t="n"/>
      <c r="H237" s="6" t="n"/>
      <c r="J237" s="5" t="n"/>
    </row>
    <row r="238">
      <c r="F238" s="6" t="n"/>
      <c r="G238" s="7" t="n"/>
      <c r="H238" s="6" t="n"/>
      <c r="J238" s="5" t="n"/>
    </row>
    <row r="239">
      <c r="F239" s="6" t="n"/>
      <c r="G239" s="7" t="n"/>
      <c r="H239" s="6" t="n"/>
      <c r="J239" s="5" t="n"/>
    </row>
    <row r="240">
      <c r="F240" s="6" t="n"/>
      <c r="G240" s="7" t="n"/>
      <c r="H240" s="6" t="n"/>
      <c r="J240" s="5" t="n"/>
    </row>
    <row r="241">
      <c r="F241" s="6" t="n"/>
      <c r="G241" s="7" t="n"/>
      <c r="H241" s="6" t="n"/>
      <c r="J241" s="5" t="n"/>
    </row>
    <row r="242">
      <c r="F242" s="6" t="n"/>
      <c r="G242" s="7" t="n"/>
      <c r="H242" s="6" t="n"/>
      <c r="J242" s="5" t="n"/>
    </row>
    <row r="243">
      <c r="F243" s="6" t="n"/>
      <c r="G243" s="7" t="n"/>
      <c r="H243" s="6" t="n"/>
      <c r="J243" s="5" t="n"/>
    </row>
    <row r="244">
      <c r="F244" s="6" t="n"/>
      <c r="G244" s="7" t="n"/>
      <c r="H244" s="6" t="n"/>
      <c r="J244" s="5" t="n"/>
    </row>
    <row r="245">
      <c r="F245" s="6" t="n"/>
      <c r="G245" s="7" t="n"/>
      <c r="H245" s="6" t="n"/>
      <c r="J245" s="5" t="n"/>
    </row>
    <row r="246">
      <c r="F246" s="6" t="n"/>
      <c r="G246" s="7" t="n"/>
      <c r="H246" s="6" t="n"/>
      <c r="J246" s="5" t="n"/>
    </row>
    <row r="247">
      <c r="F247" s="6" t="n"/>
      <c r="G247" s="7" t="n"/>
      <c r="H247" s="6" t="n"/>
      <c r="J247" s="5" t="n"/>
    </row>
    <row r="248">
      <c r="F248" s="6" t="n"/>
      <c r="G248" s="7" t="n"/>
      <c r="H248" s="6" t="n"/>
      <c r="J248" s="5" t="n"/>
    </row>
    <row r="249">
      <c r="F249" s="6" t="n"/>
      <c r="G249" s="7" t="n"/>
      <c r="H249" s="6" t="n"/>
      <c r="J249" s="5" t="n"/>
    </row>
    <row r="250">
      <c r="F250" s="6" t="n"/>
      <c r="G250" s="7" t="n"/>
      <c r="H250" s="6" t="n"/>
      <c r="J250" s="5" t="n"/>
    </row>
    <row r="251">
      <c r="F251" s="6" t="n"/>
      <c r="G251" s="7" t="n"/>
      <c r="H251" s="6" t="n"/>
      <c r="J251" s="5" t="n"/>
    </row>
    <row r="252">
      <c r="F252" s="6" t="n"/>
      <c r="G252" s="7" t="n"/>
      <c r="H252" s="6" t="n"/>
      <c r="J252" s="5" t="n"/>
    </row>
    <row r="253">
      <c r="F253" s="6" t="n"/>
      <c r="G253" s="7" t="n"/>
      <c r="H253" s="6" t="n"/>
      <c r="J253" s="5" t="n"/>
    </row>
    <row r="254">
      <c r="F254" s="6" t="n"/>
      <c r="G254" s="7" t="n"/>
      <c r="H254" s="6" t="n"/>
      <c r="J254" s="5" t="n"/>
    </row>
    <row r="255">
      <c r="F255" s="6" t="n"/>
      <c r="G255" s="7" t="n"/>
      <c r="H255" s="6" t="n"/>
      <c r="J255" s="5" t="n"/>
    </row>
    <row r="256">
      <c r="F256" s="6" t="n"/>
      <c r="G256" s="7" t="n"/>
      <c r="H256" s="6" t="n"/>
      <c r="J256" s="5" t="n"/>
    </row>
    <row r="257">
      <c r="F257" s="6" t="n"/>
      <c r="G257" s="7" t="n"/>
      <c r="H257" s="6" t="n"/>
      <c r="J257" s="5" t="n"/>
    </row>
    <row r="258">
      <c r="F258" s="6" t="n"/>
      <c r="G258" s="7" t="n"/>
      <c r="H258" s="6" t="n"/>
      <c r="J258" s="5" t="n"/>
    </row>
    <row r="259">
      <c r="F259" s="6" t="n"/>
      <c r="G259" s="7" t="n"/>
      <c r="H259" s="6" t="n"/>
      <c r="J259" s="5" t="n"/>
    </row>
    <row r="260">
      <c r="F260" s="6" t="n"/>
      <c r="G260" s="7" t="n"/>
      <c r="H260" s="6" t="n"/>
      <c r="J260" s="5" t="n"/>
    </row>
    <row r="261">
      <c r="F261" s="6" t="n"/>
      <c r="G261" s="7" t="n"/>
      <c r="H261" s="6" t="n"/>
      <c r="J261" s="5" t="n"/>
    </row>
    <row r="262">
      <c r="F262" s="6" t="n"/>
      <c r="G262" s="7" t="n"/>
      <c r="H262" s="6" t="n"/>
      <c r="J262" s="5" t="n"/>
    </row>
    <row r="263">
      <c r="F263" s="6" t="n"/>
      <c r="G263" s="7" t="n"/>
      <c r="H263" s="6" t="n"/>
      <c r="J263" s="5" t="n"/>
    </row>
    <row r="264">
      <c r="F264" s="6" t="n"/>
      <c r="G264" s="7" t="n"/>
      <c r="H264" s="6" t="n"/>
      <c r="J264" s="5" t="n"/>
    </row>
    <row r="265">
      <c r="F265" s="6" t="n"/>
      <c r="G265" s="7" t="n"/>
      <c r="H265" s="6" t="n"/>
      <c r="J265" s="5" t="n"/>
    </row>
    <row r="266">
      <c r="F266" s="6" t="n"/>
      <c r="G266" s="7" t="n"/>
      <c r="H266" s="6" t="n"/>
      <c r="J266" s="5" t="n"/>
    </row>
    <row r="267">
      <c r="F267" s="6" t="n"/>
      <c r="G267" s="7" t="n"/>
      <c r="H267" s="6" t="n"/>
      <c r="J267" s="5" t="n"/>
    </row>
    <row r="268">
      <c r="F268" s="6" t="n"/>
      <c r="G268" s="7" t="n"/>
      <c r="H268" s="6" t="n"/>
      <c r="J268" s="5" t="n"/>
    </row>
    <row r="269">
      <c r="F269" s="6" t="n"/>
      <c r="G269" s="7" t="n"/>
      <c r="H269" s="6" t="n"/>
      <c r="J269" s="5" t="n"/>
    </row>
    <row r="270">
      <c r="F270" s="6" t="n"/>
      <c r="G270" s="7" t="n"/>
      <c r="H270" s="6" t="n"/>
      <c r="J270" s="5" t="n"/>
    </row>
    <row r="271">
      <c r="F271" s="6" t="n"/>
      <c r="G271" s="7" t="n"/>
      <c r="H271" s="6" t="n"/>
      <c r="J271" s="5" t="n"/>
    </row>
    <row r="272">
      <c r="F272" s="6" t="n"/>
      <c r="G272" s="7" t="n"/>
      <c r="H272" s="6" t="n"/>
      <c r="J272" s="5" t="n"/>
    </row>
    <row r="273">
      <c r="F273" s="6" t="n"/>
      <c r="G273" s="7" t="n"/>
      <c r="H273" s="6" t="n"/>
      <c r="J273" s="5" t="n"/>
    </row>
    <row r="274">
      <c r="F274" s="6" t="n"/>
      <c r="G274" s="7" t="n"/>
      <c r="H274" s="6" t="n"/>
      <c r="J274" s="5" t="n"/>
    </row>
    <row r="275">
      <c r="F275" s="6" t="n"/>
      <c r="G275" s="7" t="n"/>
      <c r="H275" s="6" t="n"/>
      <c r="J275" s="5" t="n"/>
    </row>
    <row r="276">
      <c r="F276" s="6" t="n"/>
      <c r="G276" s="7" t="n"/>
      <c r="H276" s="6" t="n"/>
      <c r="J276" s="5" t="n"/>
    </row>
    <row r="277">
      <c r="F277" s="6" t="n"/>
      <c r="G277" s="7" t="n"/>
      <c r="H277" s="6" t="n"/>
      <c r="J277" s="5" t="n"/>
    </row>
    <row r="278">
      <c r="F278" s="6" t="n"/>
      <c r="G278" s="7" t="n"/>
      <c r="H278" s="6" t="n"/>
      <c r="J278" s="5" t="n"/>
    </row>
    <row r="279">
      <c r="F279" s="6" t="n"/>
      <c r="G279" s="7" t="n"/>
      <c r="H279" s="6" t="n"/>
      <c r="J279" s="5" t="n"/>
    </row>
    <row r="280">
      <c r="F280" s="6" t="n"/>
      <c r="G280" s="7" t="n"/>
      <c r="H280" s="6" t="n"/>
      <c r="J280" s="5" t="n"/>
    </row>
    <row r="281">
      <c r="F281" s="6" t="n"/>
      <c r="G281" s="7" t="n"/>
      <c r="H281" s="6" t="n"/>
      <c r="J281" s="5" t="n"/>
    </row>
    <row r="282">
      <c r="F282" s="6" t="n"/>
      <c r="G282" s="7" t="n"/>
      <c r="H282" s="6" t="n"/>
      <c r="J282" s="5" t="n"/>
    </row>
    <row r="283">
      <c r="F283" s="6" t="n"/>
      <c r="G283" s="7" t="n"/>
      <c r="H283" s="6" t="n"/>
      <c r="J283" s="5" t="n"/>
    </row>
    <row r="284">
      <c r="F284" s="6" t="n"/>
      <c r="G284" s="7" t="n"/>
      <c r="H284" s="6" t="n"/>
      <c r="J284" s="5" t="n"/>
    </row>
    <row r="285">
      <c r="F285" s="6" t="n"/>
      <c r="G285" s="7" t="n"/>
      <c r="H285" s="6" t="n"/>
      <c r="J285" s="5" t="n"/>
    </row>
    <row r="286">
      <c r="F286" s="6" t="n"/>
      <c r="G286" s="7" t="n"/>
      <c r="H286" s="6" t="n"/>
      <c r="J286" s="5" t="n"/>
    </row>
    <row r="287">
      <c r="F287" s="6" t="n"/>
      <c r="G287" s="7" t="n"/>
      <c r="H287" s="6" t="n"/>
      <c r="J287" s="5" t="n"/>
    </row>
    <row r="288">
      <c r="F288" s="6" t="n"/>
      <c r="G288" s="7" t="n"/>
      <c r="H288" s="6" t="n"/>
      <c r="J288" s="5" t="n"/>
    </row>
    <row r="289">
      <c r="F289" s="6" t="n"/>
      <c r="G289" s="7" t="n"/>
      <c r="H289" s="6" t="n"/>
      <c r="J289" s="5" t="n"/>
    </row>
    <row r="290">
      <c r="F290" s="6" t="n"/>
      <c r="G290" s="7" t="n"/>
      <c r="H290" s="6" t="n"/>
      <c r="J290" s="5" t="n"/>
    </row>
    <row r="291">
      <c r="F291" s="6" t="n"/>
      <c r="G291" s="7" t="n"/>
      <c r="H291" s="6" t="n"/>
      <c r="J291" s="5" t="n"/>
    </row>
    <row r="292">
      <c r="F292" s="6" t="n"/>
      <c r="G292" s="7" t="n"/>
      <c r="H292" s="6" t="n"/>
      <c r="J292" s="5" t="n"/>
    </row>
    <row r="293">
      <c r="F293" s="6" t="n"/>
      <c r="G293" s="7" t="n"/>
      <c r="H293" s="6" t="n"/>
      <c r="J293" s="5" t="n"/>
    </row>
    <row r="294">
      <c r="F294" s="6" t="n"/>
      <c r="G294" s="7" t="n"/>
      <c r="H294" s="6" t="n"/>
      <c r="J294" s="5" t="n"/>
    </row>
    <row r="295">
      <c r="F295" s="6" t="n"/>
      <c r="G295" s="7" t="n"/>
      <c r="H295" s="6" t="n"/>
      <c r="J295" s="5" t="n"/>
    </row>
    <row r="296">
      <c r="F296" s="6" t="n"/>
      <c r="G296" s="7" t="n"/>
      <c r="H296" s="6" t="n"/>
      <c r="J296" s="5" t="n"/>
    </row>
    <row r="297">
      <c r="F297" s="6" t="n"/>
      <c r="G297" s="7" t="n"/>
      <c r="H297" s="6" t="n"/>
      <c r="J297" s="5" t="n"/>
    </row>
    <row r="298">
      <c r="F298" s="6" t="n"/>
      <c r="G298" s="7" t="n"/>
      <c r="H298" s="6" t="n"/>
      <c r="J298" s="5" t="n"/>
    </row>
    <row r="299">
      <c r="F299" s="6" t="n"/>
      <c r="G299" s="7" t="n"/>
      <c r="H299" s="6" t="n"/>
      <c r="J299" s="5" t="n"/>
    </row>
    <row r="300">
      <c r="F300" s="6" t="n"/>
      <c r="G300" s="7" t="n"/>
      <c r="H300" s="6" t="n"/>
      <c r="J300" s="5" t="n"/>
    </row>
    <row r="301">
      <c r="F301" s="6" t="n"/>
      <c r="G301" s="7" t="n"/>
      <c r="H301" s="6" t="n"/>
      <c r="J301" s="5" t="n"/>
    </row>
    <row r="302">
      <c r="F302" s="6" t="n"/>
      <c r="G302" s="7" t="n"/>
      <c r="H302" s="6" t="n"/>
      <c r="J302" s="5" t="n"/>
    </row>
    <row r="303">
      <c r="F303" s="6" t="n"/>
      <c r="G303" s="7" t="n"/>
      <c r="H303" s="6" t="n"/>
      <c r="J303" s="5" t="n"/>
    </row>
    <row r="304">
      <c r="F304" s="6" t="n"/>
      <c r="G304" s="7" t="n"/>
      <c r="H304" s="6" t="n"/>
      <c r="J304" s="5" t="n"/>
    </row>
    <row r="305">
      <c r="F305" s="6" t="n"/>
      <c r="G305" s="7" t="n"/>
      <c r="H305" s="6" t="n"/>
      <c r="J305" s="5" t="n"/>
    </row>
    <row r="306">
      <c r="F306" s="6" t="n"/>
      <c r="G306" s="7" t="n"/>
      <c r="H306" s="6" t="n"/>
      <c r="J306" s="5" t="n"/>
    </row>
    <row r="307">
      <c r="F307" s="6" t="n"/>
      <c r="G307" s="7" t="n"/>
      <c r="H307" s="6" t="n"/>
      <c r="J307" s="5" t="n"/>
    </row>
    <row r="308">
      <c r="F308" s="6" t="n"/>
      <c r="G308" s="7" t="n"/>
      <c r="H308" s="6" t="n"/>
      <c r="J308" s="5" t="n"/>
    </row>
    <row r="309">
      <c r="F309" s="6" t="n"/>
      <c r="G309" s="7" t="n"/>
      <c r="H309" s="6" t="n"/>
      <c r="J309" s="5" t="n"/>
    </row>
    <row r="310">
      <c r="F310" s="6" t="n"/>
      <c r="G310" s="7" t="n"/>
      <c r="H310" s="6" t="n"/>
      <c r="J310" s="5" t="n"/>
    </row>
    <row r="311">
      <c r="F311" s="6" t="n"/>
      <c r="G311" s="7" t="n"/>
      <c r="H311" s="6" t="n"/>
      <c r="J311" s="5" t="n"/>
    </row>
    <row r="312">
      <c r="F312" s="6" t="n"/>
      <c r="G312" s="7" t="n"/>
      <c r="H312" s="6" t="n"/>
      <c r="J312" s="5" t="n"/>
    </row>
    <row r="313">
      <c r="F313" s="6" t="n"/>
      <c r="G313" s="7" t="n"/>
      <c r="H313" s="6" t="n"/>
      <c r="J313" s="5" t="n"/>
    </row>
    <row r="314">
      <c r="F314" s="6" t="n"/>
      <c r="G314" s="7" t="n"/>
      <c r="H314" s="6" t="n"/>
      <c r="J314" s="5" t="n"/>
    </row>
    <row r="315">
      <c r="F315" s="6" t="n"/>
      <c r="G315" s="7" t="n"/>
      <c r="H315" s="6" t="n"/>
      <c r="J315" s="5" t="n"/>
    </row>
    <row r="316">
      <c r="F316" s="6" t="n"/>
      <c r="G316" s="7" t="n"/>
      <c r="H316" s="6" t="n"/>
      <c r="J316" s="5" t="n"/>
    </row>
    <row r="317">
      <c r="F317" s="6" t="n"/>
      <c r="G317" s="7" t="n"/>
      <c r="H317" s="6" t="n"/>
      <c r="J317" s="5" t="n"/>
    </row>
    <row r="318">
      <c r="F318" s="6" t="n"/>
      <c r="G318" s="7" t="n"/>
      <c r="H318" s="6" t="n"/>
      <c r="J318" s="5" t="n"/>
    </row>
    <row r="319">
      <c r="F319" s="6" t="n"/>
      <c r="G319" s="7" t="n"/>
      <c r="H319" s="6" t="n"/>
      <c r="J319" s="5" t="n"/>
    </row>
    <row r="320">
      <c r="F320" s="6" t="n"/>
      <c r="G320" s="7" t="n"/>
      <c r="H320" s="6" t="n"/>
      <c r="J320" s="5" t="n"/>
    </row>
    <row r="321">
      <c r="F321" s="6" t="n"/>
      <c r="G321" s="7" t="n"/>
      <c r="H321" s="6" t="n"/>
      <c r="J321" s="5" t="n"/>
    </row>
    <row r="322">
      <c r="F322" s="6" t="n"/>
      <c r="G322" s="7" t="n"/>
      <c r="H322" s="6" t="n"/>
      <c r="J322" s="5" t="n"/>
    </row>
    <row r="323">
      <c r="F323" s="6" t="n"/>
      <c r="G323" s="7" t="n"/>
      <c r="H323" s="6" t="n"/>
      <c r="J323" s="5" t="n"/>
    </row>
    <row r="324">
      <c r="F324" s="6" t="n"/>
      <c r="G324" s="7" t="n"/>
      <c r="H324" s="6" t="n"/>
      <c r="J324" s="5" t="n"/>
    </row>
    <row r="325">
      <c r="F325" s="6" t="n"/>
      <c r="G325" s="7" t="n"/>
      <c r="H325" s="6" t="n"/>
      <c r="J325" s="5" t="n"/>
    </row>
    <row r="326">
      <c r="F326" s="6" t="n"/>
      <c r="G326" s="7" t="n"/>
      <c r="H326" s="6" t="n"/>
      <c r="J326" s="5" t="n"/>
    </row>
    <row r="327">
      <c r="F327" s="6" t="n"/>
      <c r="G327" s="7" t="n"/>
      <c r="H327" s="6" t="n"/>
      <c r="J327" s="5" t="n"/>
    </row>
    <row r="328">
      <c r="F328" s="6" t="n"/>
      <c r="G328" s="7" t="n"/>
      <c r="H328" s="6" t="n"/>
      <c r="J328" s="5" t="n"/>
    </row>
    <row r="329">
      <c r="F329" s="6" t="n"/>
      <c r="G329" s="7" t="n"/>
      <c r="H329" s="6" t="n"/>
      <c r="J329" s="5" t="n"/>
    </row>
    <row r="330">
      <c r="F330" s="6" t="n"/>
      <c r="G330" s="7" t="n"/>
      <c r="H330" s="6" t="n"/>
      <c r="J330" s="5" t="n"/>
    </row>
    <row r="331">
      <c r="F331" s="6" t="n"/>
      <c r="G331" s="7" t="n"/>
      <c r="H331" s="6" t="n"/>
      <c r="J331" s="5" t="n"/>
    </row>
    <row r="332">
      <c r="F332" s="6" t="n"/>
      <c r="G332" s="7" t="n"/>
      <c r="H332" s="6" t="n"/>
      <c r="J332" s="5" t="n"/>
    </row>
    <row r="333">
      <c r="F333" s="6" t="n"/>
      <c r="G333" s="7" t="n"/>
      <c r="H333" s="6" t="n"/>
      <c r="J333" s="5" t="n"/>
    </row>
    <row r="334">
      <c r="F334" s="6" t="n"/>
      <c r="G334" s="7" t="n"/>
      <c r="H334" s="6" t="n"/>
      <c r="J334" s="5" t="n"/>
    </row>
    <row r="335">
      <c r="F335" s="6" t="n"/>
      <c r="G335" s="7" t="n"/>
      <c r="H335" s="6" t="n"/>
      <c r="J335" s="5" t="n"/>
    </row>
    <row r="336">
      <c r="F336" s="6" t="n"/>
      <c r="G336" s="7" t="n"/>
      <c r="H336" s="6" t="n"/>
      <c r="J336" s="5" t="n"/>
    </row>
    <row r="337">
      <c r="F337" s="6" t="n"/>
      <c r="G337" s="7" t="n"/>
      <c r="H337" s="6" t="n"/>
      <c r="J337" s="5" t="n"/>
    </row>
    <row r="338">
      <c r="F338" s="6" t="n"/>
      <c r="G338" s="7" t="n"/>
      <c r="H338" s="6" t="n"/>
      <c r="J338" s="5" t="n"/>
    </row>
    <row r="339">
      <c r="F339" s="6" t="n"/>
      <c r="G339" s="7" t="n"/>
      <c r="H339" s="6" t="n"/>
      <c r="J339" s="5" t="n"/>
    </row>
    <row r="340">
      <c r="F340" s="6" t="n"/>
      <c r="G340" s="7" t="n"/>
      <c r="H340" s="6" t="n"/>
      <c r="J340" s="5" t="n"/>
    </row>
    <row r="341">
      <c r="F341" s="6" t="n"/>
      <c r="G341" s="7" t="n"/>
      <c r="H341" s="6" t="n"/>
      <c r="J341" s="5" t="n"/>
    </row>
    <row r="342">
      <c r="F342" s="6" t="n"/>
      <c r="G342" s="7" t="n"/>
      <c r="H342" s="6" t="n"/>
      <c r="J342" s="5" t="n"/>
    </row>
    <row r="343">
      <c r="F343" s="6" t="n"/>
      <c r="G343" s="7" t="n"/>
      <c r="H343" s="6" t="n"/>
      <c r="J343" s="5" t="n"/>
    </row>
    <row r="344">
      <c r="F344" s="6" t="n"/>
      <c r="G344" s="7" t="n"/>
      <c r="H344" s="6" t="n"/>
      <c r="J344" s="5" t="n"/>
    </row>
    <row r="345">
      <c r="F345" s="6" t="n"/>
      <c r="G345" s="7" t="n"/>
      <c r="H345" s="6" t="n"/>
      <c r="J345" s="5" t="n"/>
    </row>
    <row r="346">
      <c r="F346" s="6" t="n"/>
      <c r="G346" s="7" t="n"/>
      <c r="H346" s="6" t="n"/>
      <c r="J346" s="5" t="n"/>
    </row>
    <row r="347">
      <c r="F347" s="6" t="n"/>
      <c r="G347" s="7" t="n"/>
      <c r="H347" s="6" t="n"/>
      <c r="J347" s="5" t="n"/>
    </row>
    <row r="348">
      <c r="F348" s="6" t="n"/>
      <c r="G348" s="7" t="n"/>
      <c r="H348" s="6" t="n"/>
      <c r="J348" s="5" t="n"/>
    </row>
    <row r="349">
      <c r="F349" s="6" t="n"/>
      <c r="G349" s="7" t="n"/>
      <c r="H349" s="6" t="n"/>
      <c r="J349" s="5" t="n"/>
    </row>
    <row r="350">
      <c r="F350" s="6" t="n"/>
      <c r="G350" s="7" t="n"/>
      <c r="H350" s="6" t="n"/>
      <c r="J350" s="5" t="n"/>
    </row>
    <row r="351">
      <c r="F351" s="6" t="n"/>
      <c r="G351" s="7" t="n"/>
      <c r="H351" s="6" t="n"/>
      <c r="J351" s="5" t="n"/>
    </row>
    <row r="352">
      <c r="F352" s="6" t="n"/>
      <c r="G352" s="7" t="n"/>
      <c r="H352" s="6" t="n"/>
      <c r="J352" s="5" t="n"/>
    </row>
    <row r="353">
      <c r="F353" s="6" t="n"/>
      <c r="G353" s="7" t="n"/>
      <c r="H353" s="6" t="n"/>
      <c r="J353" s="5" t="n"/>
    </row>
    <row r="354">
      <c r="F354" s="6" t="n"/>
      <c r="G354" s="7" t="n"/>
      <c r="H354" s="6" t="n"/>
      <c r="J354" s="5" t="n"/>
    </row>
    <row r="355">
      <c r="F355" s="6" t="n"/>
      <c r="G355" s="7" t="n"/>
      <c r="H355" s="6" t="n"/>
      <c r="J355" s="5" t="n"/>
    </row>
    <row r="356">
      <c r="F356" s="6" t="n"/>
      <c r="G356" s="7" t="n"/>
      <c r="H356" s="6" t="n"/>
      <c r="J356" s="5" t="n"/>
    </row>
    <row r="357">
      <c r="F357" s="6" t="n"/>
      <c r="G357" s="7" t="n"/>
      <c r="H357" s="6" t="n"/>
      <c r="J357" s="5" t="n"/>
    </row>
    <row r="358">
      <c r="F358" s="6" t="n"/>
      <c r="G358" s="7" t="n"/>
      <c r="H358" s="6" t="n"/>
      <c r="J358" s="5" t="n"/>
    </row>
    <row r="359">
      <c r="F359" s="6" t="n"/>
      <c r="G359" s="7" t="n"/>
      <c r="H359" s="6" t="n"/>
      <c r="J359" s="5" t="n"/>
    </row>
    <row r="360">
      <c r="F360" s="6" t="n"/>
      <c r="G360" s="7" t="n"/>
      <c r="H360" s="6" t="n"/>
      <c r="J360" s="5" t="n"/>
    </row>
    <row r="361">
      <c r="F361" s="6" t="n"/>
      <c r="G361" s="7" t="n"/>
      <c r="H361" s="6" t="n"/>
      <c r="J361" s="5" t="n"/>
    </row>
    <row r="362">
      <c r="F362" s="6" t="n"/>
      <c r="G362" s="7" t="n"/>
      <c r="H362" s="6" t="n"/>
      <c r="J362" s="5" t="n"/>
    </row>
    <row r="363">
      <c r="F363" s="6" t="n"/>
      <c r="G363" s="7" t="n"/>
      <c r="H363" s="6" t="n"/>
      <c r="J363" s="5" t="n"/>
    </row>
    <row r="364">
      <c r="F364" s="6" t="n"/>
      <c r="G364" s="7" t="n"/>
      <c r="H364" s="6" t="n"/>
      <c r="J364" s="5" t="n"/>
    </row>
    <row r="365">
      <c r="F365" s="6" t="n"/>
      <c r="G365" s="7" t="n"/>
      <c r="H365" s="6" t="n"/>
      <c r="J365" s="5" t="n"/>
    </row>
    <row r="366">
      <c r="F366" s="6" t="n"/>
      <c r="G366" s="7" t="n"/>
      <c r="H366" s="6" t="n"/>
      <c r="J366" s="5" t="n"/>
    </row>
    <row r="367">
      <c r="F367" s="6" t="n"/>
      <c r="G367" s="7" t="n"/>
      <c r="H367" s="6" t="n"/>
      <c r="J367" s="5" t="n"/>
    </row>
    <row r="368">
      <c r="F368" s="6" t="n"/>
      <c r="G368" s="7" t="n"/>
      <c r="H368" s="6" t="n"/>
      <c r="J368" s="5" t="n"/>
    </row>
    <row r="369">
      <c r="F369" s="6" t="n"/>
      <c r="G369" s="7" t="n"/>
      <c r="H369" s="6" t="n"/>
      <c r="J369" s="5" t="n"/>
    </row>
    <row r="370">
      <c r="F370" s="6" t="n"/>
      <c r="G370" s="7" t="n"/>
      <c r="H370" s="6" t="n"/>
      <c r="J370" s="5" t="n"/>
    </row>
    <row r="371">
      <c r="F371" s="6" t="n"/>
      <c r="G371" s="7" t="n"/>
      <c r="H371" s="6" t="n"/>
      <c r="J371" s="5" t="n"/>
    </row>
    <row r="372">
      <c r="F372" s="6" t="n"/>
      <c r="G372" s="7" t="n"/>
      <c r="H372" s="6" t="n"/>
      <c r="J372" s="5" t="n"/>
    </row>
    <row r="373">
      <c r="F373" s="6" t="n"/>
      <c r="G373" s="7" t="n"/>
      <c r="H373" s="6" t="n"/>
      <c r="J373" s="5" t="n"/>
    </row>
    <row r="374">
      <c r="F374" s="6" t="n"/>
      <c r="G374" s="7" t="n"/>
      <c r="H374" s="6" t="n"/>
      <c r="J374" s="5" t="n"/>
    </row>
    <row r="375">
      <c r="F375" s="6" t="n"/>
      <c r="G375" s="7" t="n"/>
      <c r="H375" s="6" t="n"/>
      <c r="J375" s="5" t="n"/>
    </row>
    <row r="376">
      <c r="F376" s="6" t="n"/>
      <c r="G376" s="7" t="n"/>
      <c r="H376" s="6" t="n"/>
      <c r="J376" s="5" t="n"/>
    </row>
    <row r="377">
      <c r="F377" s="6" t="n"/>
      <c r="G377" s="7" t="n"/>
      <c r="H377" s="6" t="n"/>
      <c r="J377" s="5" t="n"/>
    </row>
    <row r="378">
      <c r="F378" s="6" t="n"/>
      <c r="G378" s="7" t="n"/>
      <c r="H378" s="6" t="n"/>
      <c r="J378" s="5" t="n"/>
    </row>
    <row r="379">
      <c r="F379" s="6" t="n"/>
      <c r="G379" s="7" t="n"/>
      <c r="H379" s="6" t="n"/>
      <c r="J379" s="5" t="n"/>
    </row>
    <row r="380">
      <c r="F380" s="6" t="n"/>
      <c r="G380" s="7" t="n"/>
      <c r="H380" s="6" t="n"/>
      <c r="J380" s="5" t="n"/>
    </row>
    <row r="381">
      <c r="F381" s="6" t="n"/>
      <c r="G381" s="7" t="n"/>
      <c r="H381" s="6" t="n"/>
      <c r="J381" s="5" t="n"/>
    </row>
    <row r="382">
      <c r="F382" s="6" t="n"/>
      <c r="G382" s="7" t="n"/>
      <c r="H382" s="6" t="n"/>
      <c r="J382" s="5" t="n"/>
    </row>
    <row r="383">
      <c r="F383" s="6" t="n"/>
      <c r="G383" s="7" t="n"/>
      <c r="H383" s="6" t="n"/>
      <c r="J383" s="5" t="n"/>
    </row>
    <row r="384">
      <c r="F384" s="6" t="n"/>
      <c r="G384" s="7" t="n"/>
      <c r="H384" s="6" t="n"/>
      <c r="J384" s="5" t="n"/>
    </row>
    <row r="385">
      <c r="F385" s="6" t="n"/>
      <c r="G385" s="7" t="n"/>
      <c r="H385" s="6" t="n"/>
      <c r="J385" s="5" t="n"/>
    </row>
    <row r="386">
      <c r="F386" s="6" t="n"/>
      <c r="G386" s="7" t="n"/>
      <c r="H386" s="6" t="n"/>
      <c r="J386" s="5" t="n"/>
    </row>
    <row r="387">
      <c r="F387" s="6" t="n"/>
      <c r="G387" s="7" t="n"/>
      <c r="H387" s="6" t="n"/>
      <c r="J387" s="5" t="n"/>
    </row>
    <row r="388">
      <c r="F388" s="6" t="n"/>
      <c r="G388" s="7" t="n"/>
      <c r="H388" s="6" t="n"/>
      <c r="J388" s="5" t="n"/>
    </row>
    <row r="389">
      <c r="F389" s="6" t="n"/>
      <c r="G389" s="7" t="n"/>
      <c r="H389" s="6" t="n"/>
      <c r="J389" s="5" t="n"/>
    </row>
    <row r="390">
      <c r="F390" s="6" t="n"/>
      <c r="G390" s="7" t="n"/>
      <c r="H390" s="6" t="n"/>
      <c r="J390" s="5" t="n"/>
    </row>
    <row r="391">
      <c r="F391" s="6" t="n"/>
      <c r="G391" s="7" t="n"/>
      <c r="H391" s="6" t="n"/>
      <c r="J391" s="5" t="n"/>
    </row>
    <row r="392">
      <c r="F392" s="6" t="n"/>
      <c r="G392" s="7" t="n"/>
      <c r="H392" s="6" t="n"/>
      <c r="J392" s="5" t="n"/>
    </row>
    <row r="393">
      <c r="F393" s="6" t="n"/>
      <c r="G393" s="7" t="n"/>
      <c r="H393" s="6" t="n"/>
      <c r="J393" s="5" t="n"/>
    </row>
    <row r="394">
      <c r="F394" s="6" t="n"/>
      <c r="G394" s="7" t="n"/>
      <c r="H394" s="6" t="n"/>
      <c r="J394" s="5" t="n"/>
    </row>
    <row r="395">
      <c r="F395" s="6" t="n"/>
      <c r="G395" s="7" t="n"/>
      <c r="H395" s="6" t="n"/>
      <c r="J395" s="5" t="n"/>
    </row>
    <row r="396">
      <c r="F396" s="6" t="n"/>
      <c r="G396" s="7" t="n"/>
      <c r="H396" s="6" t="n"/>
      <c r="J396" s="5" t="n"/>
    </row>
    <row r="397">
      <c r="F397" s="6" t="n"/>
      <c r="G397" s="7" t="n"/>
      <c r="H397" s="6" t="n"/>
      <c r="J397" s="5" t="n"/>
    </row>
    <row r="398">
      <c r="F398" s="6" t="n"/>
      <c r="G398" s="7" t="n"/>
      <c r="H398" s="6" t="n"/>
      <c r="J398" s="5" t="n"/>
    </row>
    <row r="399">
      <c r="F399" s="6" t="n"/>
      <c r="G399" s="7" t="n"/>
      <c r="H399" s="6" t="n"/>
      <c r="J399" s="5" t="n"/>
    </row>
    <row r="400">
      <c r="F400" s="6" t="n"/>
      <c r="G400" s="7" t="n"/>
      <c r="H400" s="6" t="n"/>
      <c r="J400" s="5" t="n"/>
    </row>
    <row r="401">
      <c r="F401" s="6" t="n"/>
      <c r="G401" s="7" t="n"/>
      <c r="H401" s="6" t="n"/>
      <c r="J401" s="5" t="n"/>
    </row>
    <row r="402">
      <c r="F402" s="6" t="n"/>
      <c r="G402" s="7" t="n"/>
      <c r="H402" s="6" t="n"/>
      <c r="J402" s="5" t="n"/>
    </row>
    <row r="403">
      <c r="F403" s="6" t="n"/>
      <c r="G403" s="7" t="n"/>
      <c r="H403" s="6" t="n"/>
      <c r="J403" s="5" t="n"/>
    </row>
    <row r="404">
      <c r="F404" s="6" t="n"/>
      <c r="G404" s="7" t="n"/>
      <c r="H404" s="6" t="n"/>
      <c r="J404" s="5" t="n"/>
    </row>
    <row r="405">
      <c r="F405" s="6" t="n"/>
      <c r="G405" s="7" t="n"/>
      <c r="H405" s="6" t="n"/>
      <c r="J405" s="5" t="n"/>
    </row>
    <row r="406">
      <c r="F406" s="6" t="n"/>
      <c r="G406" s="7" t="n"/>
      <c r="H406" s="6" t="n"/>
      <c r="J406" s="5" t="n"/>
    </row>
    <row r="407">
      <c r="F407" s="6" t="n"/>
      <c r="G407" s="7" t="n"/>
      <c r="H407" s="6" t="n"/>
      <c r="J407" s="5" t="n"/>
    </row>
    <row r="408">
      <c r="F408" s="6" t="n"/>
      <c r="G408" s="7" t="n"/>
      <c r="H408" s="6" t="n"/>
      <c r="J408" s="5" t="n"/>
    </row>
    <row r="409">
      <c r="F409" s="6" t="n"/>
      <c r="G409" s="7" t="n"/>
      <c r="H409" s="6" t="n"/>
      <c r="J409" s="5" t="n"/>
    </row>
    <row r="410">
      <c r="F410" s="6" t="n"/>
      <c r="G410" s="7" t="n"/>
      <c r="H410" s="6" t="n"/>
      <c r="J410" s="5" t="n"/>
    </row>
    <row r="411">
      <c r="F411" s="6" t="n"/>
      <c r="G411" s="7" t="n"/>
      <c r="H411" s="6" t="n"/>
      <c r="J411" s="5" t="n"/>
    </row>
    <row r="412">
      <c r="F412" s="6" t="n"/>
      <c r="G412" s="7" t="n"/>
      <c r="H412" s="6" t="n"/>
      <c r="J412" s="5" t="n"/>
    </row>
    <row r="413">
      <c r="F413" s="6" t="n"/>
      <c r="G413" s="7" t="n"/>
      <c r="H413" s="6" t="n"/>
      <c r="J413" s="5" t="n"/>
    </row>
    <row r="414">
      <c r="F414" s="6" t="n"/>
      <c r="G414" s="7" t="n"/>
      <c r="H414" s="6" t="n"/>
      <c r="J414" s="5" t="n"/>
    </row>
    <row r="415">
      <c r="F415" s="6" t="n"/>
      <c r="G415" s="7" t="n"/>
      <c r="H415" s="6" t="n"/>
      <c r="J415" s="5" t="n"/>
    </row>
    <row r="416">
      <c r="F416" s="6" t="n"/>
      <c r="G416" s="7" t="n"/>
      <c r="H416" s="6" t="n"/>
      <c r="J416" s="5" t="n"/>
    </row>
    <row r="417">
      <c r="F417" s="6" t="n"/>
      <c r="G417" s="7" t="n"/>
      <c r="H417" s="6" t="n"/>
      <c r="J417" s="5" t="n"/>
    </row>
    <row r="418">
      <c r="F418" s="6" t="n"/>
      <c r="G418" s="7" t="n"/>
      <c r="H418" s="6" t="n"/>
      <c r="J418" s="5" t="n"/>
    </row>
    <row r="419">
      <c r="F419" s="6" t="n"/>
      <c r="G419" s="7" t="n"/>
      <c r="H419" s="6" t="n"/>
      <c r="J419" s="5" t="n"/>
    </row>
    <row r="420">
      <c r="F420" s="6" t="n"/>
      <c r="G420" s="7" t="n"/>
      <c r="H420" s="6" t="n"/>
      <c r="J420" s="5" t="n"/>
    </row>
    <row r="421">
      <c r="F421" s="6" t="n"/>
      <c r="G421" s="7" t="n"/>
      <c r="H421" s="6" t="n"/>
      <c r="J421" s="5" t="n"/>
    </row>
    <row r="422">
      <c r="F422" s="6" t="n"/>
      <c r="G422" s="7" t="n"/>
      <c r="H422" s="6" t="n"/>
      <c r="J422" s="5" t="n"/>
    </row>
    <row r="423">
      <c r="F423" s="6" t="n"/>
      <c r="G423" s="7" t="n"/>
      <c r="H423" s="6" t="n"/>
      <c r="J423" s="5" t="n"/>
    </row>
    <row r="424">
      <c r="F424" s="6" t="n"/>
      <c r="G424" s="7" t="n"/>
      <c r="H424" s="6" t="n"/>
      <c r="J424" s="5" t="n"/>
    </row>
    <row r="425">
      <c r="F425" s="6" t="n"/>
      <c r="G425" s="7" t="n"/>
      <c r="H425" s="6" t="n"/>
      <c r="J425" s="5" t="n"/>
    </row>
    <row r="426">
      <c r="F426" s="6" t="n"/>
      <c r="G426" s="7" t="n"/>
      <c r="H426" s="6" t="n"/>
      <c r="J426" s="5" t="n"/>
    </row>
    <row r="427">
      <c r="F427" s="6" t="n"/>
      <c r="G427" s="7" t="n"/>
      <c r="H427" s="6" t="n"/>
      <c r="J427" s="5" t="n"/>
    </row>
    <row r="428">
      <c r="F428" s="6" t="n"/>
      <c r="G428" s="7" t="n"/>
      <c r="H428" s="6" t="n"/>
      <c r="J428" s="5" t="n"/>
    </row>
    <row r="429">
      <c r="F429" s="6" t="n"/>
      <c r="G429" s="7" t="n"/>
      <c r="H429" s="6" t="n"/>
      <c r="J429" s="5" t="n"/>
    </row>
    <row r="430">
      <c r="F430" s="6" t="n"/>
      <c r="G430" s="7" t="n"/>
      <c r="H430" s="6" t="n"/>
      <c r="J430" s="5" t="n"/>
    </row>
    <row r="431">
      <c r="F431" s="6" t="n"/>
      <c r="G431" s="7" t="n"/>
      <c r="H431" s="6" t="n"/>
      <c r="J431" s="5" t="n"/>
    </row>
    <row r="432">
      <c r="F432" s="6" t="n"/>
      <c r="G432" s="7" t="n"/>
      <c r="H432" s="6" t="n"/>
      <c r="J432" s="5" t="n"/>
    </row>
    <row r="433">
      <c r="F433" s="6" t="n"/>
      <c r="G433" s="7" t="n"/>
      <c r="H433" s="6" t="n"/>
      <c r="J433" s="5" t="n"/>
    </row>
    <row r="434">
      <c r="F434" s="6" t="n"/>
      <c r="G434" s="7" t="n"/>
      <c r="H434" s="6" t="n"/>
      <c r="J434" s="5" t="n"/>
    </row>
    <row r="435">
      <c r="F435" s="6" t="n"/>
      <c r="G435" s="7" t="n"/>
      <c r="H435" s="6" t="n"/>
      <c r="J435" s="5" t="n"/>
    </row>
    <row r="436">
      <c r="F436" s="6" t="n"/>
      <c r="G436" s="7" t="n"/>
      <c r="H436" s="6" t="n"/>
      <c r="J436" s="5" t="n"/>
    </row>
    <row r="437">
      <c r="F437" s="6" t="n"/>
      <c r="G437" s="7" t="n"/>
      <c r="H437" s="6" t="n"/>
      <c r="J437" s="5" t="n"/>
    </row>
    <row r="438">
      <c r="F438" s="6" t="n"/>
      <c r="G438" s="7" t="n"/>
      <c r="H438" s="6" t="n"/>
      <c r="J438" s="5" t="n"/>
    </row>
    <row r="439">
      <c r="F439" s="6" t="n"/>
      <c r="G439" s="7" t="n"/>
      <c r="H439" s="6" t="n"/>
      <c r="J439" s="5" t="n"/>
    </row>
    <row r="440">
      <c r="F440" s="6" t="n"/>
      <c r="G440" s="7" t="n"/>
      <c r="H440" s="6" t="n"/>
      <c r="J440" s="5" t="n"/>
    </row>
    <row r="441">
      <c r="F441" s="6" t="n"/>
      <c r="G441" s="7" t="n"/>
      <c r="H441" s="6" t="n"/>
      <c r="J441" s="5" t="n"/>
    </row>
    <row r="442">
      <c r="F442" s="6" t="n"/>
      <c r="G442" s="7" t="n"/>
      <c r="H442" s="6" t="n"/>
      <c r="J442" s="5" t="n"/>
    </row>
    <row r="443">
      <c r="F443" s="6" t="n"/>
      <c r="G443" s="7" t="n"/>
      <c r="H443" s="6" t="n"/>
      <c r="J443" s="5" t="n"/>
    </row>
    <row r="444">
      <c r="F444" s="6" t="n"/>
      <c r="G444" s="7" t="n"/>
      <c r="H444" s="6" t="n"/>
      <c r="J444" s="5" t="n"/>
    </row>
    <row r="445">
      <c r="F445" s="6" t="n"/>
      <c r="G445" s="7" t="n"/>
      <c r="H445" s="6" t="n"/>
      <c r="J445" s="5" t="n"/>
    </row>
    <row r="446">
      <c r="F446" s="6" t="n"/>
      <c r="G446" s="7" t="n"/>
      <c r="H446" s="6" t="n"/>
      <c r="J446" s="5" t="n"/>
    </row>
    <row r="447">
      <c r="F447" s="6" t="n"/>
      <c r="G447" s="7" t="n"/>
      <c r="H447" s="6" t="n"/>
      <c r="J447" s="5" t="n"/>
    </row>
    <row r="448">
      <c r="F448" s="6" t="n"/>
      <c r="G448" s="7" t="n"/>
      <c r="H448" s="6" t="n"/>
      <c r="J448" s="5" t="n"/>
    </row>
    <row r="449">
      <c r="F449" s="6" t="n"/>
      <c r="G449" s="7" t="n"/>
      <c r="H449" s="6" t="n"/>
      <c r="J449" s="5" t="n"/>
    </row>
    <row r="450">
      <c r="F450" s="6" t="n"/>
      <c r="G450" s="7" t="n"/>
      <c r="H450" s="6" t="n"/>
      <c r="J450" s="5" t="n"/>
    </row>
    <row r="451">
      <c r="F451" s="6" t="n"/>
      <c r="G451" s="7" t="n"/>
      <c r="H451" s="6" t="n"/>
      <c r="J451" s="5" t="n"/>
    </row>
    <row r="452">
      <c r="F452" s="6" t="n"/>
      <c r="G452" s="7" t="n"/>
      <c r="H452" s="6" t="n"/>
      <c r="J452" s="5" t="n"/>
    </row>
    <row r="453">
      <c r="F453" s="6" t="n"/>
      <c r="G453" s="7" t="n"/>
      <c r="H453" s="6" t="n"/>
      <c r="J453" s="5" t="n"/>
    </row>
    <row r="454">
      <c r="F454" s="6" t="n"/>
      <c r="G454" s="7" t="n"/>
      <c r="H454" s="6" t="n"/>
      <c r="J454" s="5" t="n"/>
    </row>
    <row r="455">
      <c r="F455" s="6" t="n"/>
      <c r="G455" s="7" t="n"/>
      <c r="H455" s="6" t="n"/>
      <c r="J455" s="5" t="n"/>
    </row>
    <row r="456">
      <c r="F456" s="6" t="n"/>
      <c r="G456" s="7" t="n"/>
      <c r="H456" s="6" t="n"/>
      <c r="J456" s="5" t="n"/>
    </row>
    <row r="457">
      <c r="F457" s="6" t="n"/>
      <c r="G457" s="7" t="n"/>
      <c r="H457" s="6" t="n"/>
      <c r="J457" s="5" t="n"/>
    </row>
    <row r="458">
      <c r="F458" s="6" t="n"/>
      <c r="G458" s="7" t="n"/>
      <c r="H458" s="6" t="n"/>
      <c r="J458" s="5" t="n"/>
    </row>
    <row r="459">
      <c r="F459" s="6" t="n"/>
      <c r="G459" s="7" t="n"/>
      <c r="H459" s="6" t="n"/>
      <c r="J459" s="5" t="n"/>
    </row>
    <row r="460">
      <c r="F460" s="6" t="n"/>
      <c r="G460" s="7" t="n"/>
      <c r="H460" s="6" t="n"/>
      <c r="J460" s="5" t="n"/>
    </row>
    <row r="461">
      <c r="F461" s="6" t="n"/>
      <c r="G461" s="7" t="n"/>
      <c r="H461" s="6" t="n"/>
      <c r="J461" s="5" t="n"/>
    </row>
    <row r="462">
      <c r="F462" s="6" t="n"/>
      <c r="G462" s="7" t="n"/>
      <c r="H462" s="6" t="n"/>
      <c r="J462" s="5" t="n"/>
    </row>
    <row r="463">
      <c r="F463" s="6" t="n"/>
      <c r="G463" s="7" t="n"/>
      <c r="H463" s="6" t="n"/>
      <c r="J463" s="5" t="n"/>
    </row>
    <row r="464">
      <c r="F464" s="6" t="n"/>
      <c r="G464" s="7" t="n"/>
      <c r="H464" s="6" t="n"/>
      <c r="J464" s="5" t="n"/>
    </row>
    <row r="465">
      <c r="F465" s="6" t="n"/>
      <c r="G465" s="7" t="n"/>
      <c r="H465" s="6" t="n"/>
      <c r="J465" s="5" t="n"/>
    </row>
    <row r="466">
      <c r="F466" s="6" t="n"/>
      <c r="G466" s="7" t="n"/>
      <c r="H466" s="6" t="n"/>
      <c r="J466" s="5" t="n"/>
    </row>
    <row r="467">
      <c r="F467" s="6" t="n"/>
      <c r="G467" s="7" t="n"/>
      <c r="H467" s="6" t="n"/>
      <c r="J467" s="5" t="n"/>
    </row>
    <row r="468">
      <c r="F468" s="6" t="n"/>
      <c r="G468" s="7" t="n"/>
      <c r="H468" s="6" t="n"/>
      <c r="J468" s="5" t="n"/>
    </row>
    <row r="469">
      <c r="F469" s="6" t="n"/>
      <c r="G469" s="7" t="n"/>
      <c r="H469" s="6" t="n"/>
      <c r="J469" s="5" t="n"/>
    </row>
    <row r="470">
      <c r="F470" s="6" t="n"/>
      <c r="G470" s="7" t="n"/>
      <c r="H470" s="6" t="n"/>
      <c r="J470" s="5" t="n"/>
    </row>
    <row r="471">
      <c r="F471" s="6" t="n"/>
      <c r="G471" s="7" t="n"/>
      <c r="H471" s="6" t="n"/>
      <c r="J471" s="5" t="n"/>
    </row>
    <row r="472">
      <c r="F472" s="6" t="n"/>
      <c r="G472" s="7" t="n"/>
      <c r="H472" s="6" t="n"/>
      <c r="J472" s="5" t="n"/>
    </row>
    <row r="473">
      <c r="F473" s="6" t="n"/>
      <c r="G473" s="7" t="n"/>
      <c r="H473" s="6" t="n"/>
      <c r="J473" s="5" t="n"/>
    </row>
    <row r="474">
      <c r="F474" s="6" t="n"/>
      <c r="G474" s="7" t="n"/>
      <c r="H474" s="6" t="n"/>
      <c r="J474" s="5" t="n"/>
    </row>
    <row r="475">
      <c r="F475" s="6" t="n"/>
      <c r="G475" s="7" t="n"/>
      <c r="H475" s="6" t="n"/>
      <c r="J475" s="5" t="n"/>
    </row>
    <row r="476">
      <c r="F476" s="6" t="n"/>
      <c r="G476" s="7" t="n"/>
      <c r="H476" s="6" t="n"/>
      <c r="J476" s="5" t="n"/>
    </row>
    <row r="477">
      <c r="F477" s="6" t="n"/>
      <c r="G477" s="7" t="n"/>
      <c r="H477" s="6" t="n"/>
      <c r="J477" s="5" t="n"/>
    </row>
    <row r="478">
      <c r="F478" s="6" t="n"/>
      <c r="G478" s="7" t="n"/>
      <c r="H478" s="6" t="n"/>
      <c r="J478" s="5" t="n"/>
    </row>
    <row r="479">
      <c r="F479" s="6" t="n"/>
      <c r="G479" s="7" t="n"/>
      <c r="H479" s="6" t="n"/>
      <c r="J479" s="5" t="n"/>
    </row>
    <row r="480">
      <c r="F480" s="6" t="n"/>
      <c r="G480" s="7" t="n"/>
      <c r="H480" s="6" t="n"/>
      <c r="J480" s="5" t="n"/>
    </row>
    <row r="481">
      <c r="F481" s="6" t="n"/>
      <c r="G481" s="7" t="n"/>
      <c r="H481" s="6" t="n"/>
      <c r="J481" s="5" t="n"/>
    </row>
    <row r="482">
      <c r="F482" s="6" t="n"/>
      <c r="G482" s="7" t="n"/>
      <c r="H482" s="6" t="n"/>
      <c r="J482" s="5" t="n"/>
    </row>
    <row r="483">
      <c r="F483" s="6" t="n"/>
      <c r="G483" s="7" t="n"/>
      <c r="H483" s="6" t="n"/>
      <c r="J483" s="5" t="n"/>
    </row>
    <row r="484">
      <c r="F484" s="6" t="n"/>
      <c r="G484" s="7" t="n"/>
      <c r="H484" s="6" t="n"/>
      <c r="J484" s="5" t="n"/>
    </row>
    <row r="485">
      <c r="F485" s="6" t="n"/>
      <c r="G485" s="7" t="n"/>
      <c r="H485" s="6" t="n"/>
      <c r="J485" s="5" t="n"/>
    </row>
    <row r="486">
      <c r="F486" s="6" t="n"/>
      <c r="G486" s="7" t="n"/>
      <c r="H486" s="6" t="n"/>
      <c r="J486" s="5" t="n"/>
    </row>
    <row r="487">
      <c r="F487" s="6" t="n"/>
      <c r="G487" s="7" t="n"/>
      <c r="H487" s="6" t="n"/>
      <c r="J487" s="5" t="n"/>
    </row>
    <row r="488">
      <c r="F488" s="6" t="n"/>
      <c r="G488" s="7" t="n"/>
      <c r="H488" s="6" t="n"/>
      <c r="J488" s="5" t="n"/>
    </row>
    <row r="489">
      <c r="F489" s="6" t="n"/>
      <c r="G489" s="7" t="n"/>
      <c r="H489" s="6" t="n"/>
      <c r="J489" s="5" t="n"/>
    </row>
    <row r="490">
      <c r="F490" s="6" t="n"/>
      <c r="G490" s="7" t="n"/>
      <c r="H490" s="6" t="n"/>
      <c r="J490" s="5" t="n"/>
    </row>
    <row r="491">
      <c r="F491" s="6" t="n"/>
      <c r="G491" s="7" t="n"/>
      <c r="H491" s="6" t="n"/>
      <c r="J491" s="5" t="n"/>
    </row>
    <row r="492">
      <c r="F492" s="6" t="n"/>
      <c r="G492" s="7" t="n"/>
      <c r="H492" s="6" t="n"/>
      <c r="J492" s="5" t="n"/>
    </row>
    <row r="493">
      <c r="F493" s="6" t="n"/>
      <c r="G493" s="7" t="n"/>
      <c r="H493" s="6" t="n"/>
      <c r="J493" s="5" t="n"/>
    </row>
    <row r="494">
      <c r="F494" s="6" t="n"/>
      <c r="G494" s="7" t="n"/>
      <c r="H494" s="6" t="n"/>
      <c r="J494" s="5" t="n"/>
    </row>
    <row r="495">
      <c r="F495" s="6" t="n"/>
      <c r="G495" s="7" t="n"/>
      <c r="H495" s="6" t="n"/>
      <c r="J495" s="5" t="n"/>
    </row>
    <row r="496">
      <c r="F496" s="6" t="n"/>
      <c r="G496" s="7" t="n"/>
      <c r="H496" s="6" t="n"/>
      <c r="J496" s="5" t="n"/>
    </row>
    <row r="497">
      <c r="F497" s="6" t="n"/>
      <c r="G497" s="7" t="n"/>
      <c r="H497" s="6" t="n"/>
      <c r="J497" s="5" t="n"/>
    </row>
    <row r="498">
      <c r="F498" s="6" t="n"/>
      <c r="G498" s="7" t="n"/>
      <c r="H498" s="6" t="n"/>
      <c r="J498" s="5" t="n"/>
    </row>
    <row r="499">
      <c r="F499" s="6" t="n"/>
      <c r="G499" s="7" t="n"/>
      <c r="H499" s="6" t="n"/>
      <c r="J499" s="5" t="n"/>
    </row>
    <row r="500">
      <c r="F500" s="6" t="n"/>
      <c r="G500" s="7" t="n"/>
      <c r="H500" s="6" t="n"/>
      <c r="J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1" customWidth="1" min="7" max="7"/>
    <col width="10" customWidth="1" min="8" max="8"/>
    <col width="11" customWidth="1" min="9" max="9"/>
    <col width="12" customWidth="1" min="10" max="10"/>
    <col width="15" customWidth="1" min="11" max="11"/>
    <col width="14" customWidth="1" min="12" max="12"/>
    <col width="10" customWidth="1" min="13" max="13"/>
  </cols>
  <sheetData>
    <row r="1" ht="22" customHeight="1">
      <c r="A1" s="4" t="inlineStr">
        <is>
          <t>PolicyID</t>
        </is>
      </c>
      <c r="B1" s="4" t="inlineStr">
        <is>
          <t>ClientID</t>
        </is>
      </c>
      <c r="C1" s="4" t="inlineStr">
        <is>
          <t>PolicyType</t>
        </is>
      </c>
      <c r="D1" s="4" t="inlineStr">
        <is>
          <t>Provider</t>
        </is>
      </c>
      <c r="E1" s="4" t="inlineStr">
        <is>
          <t>CoverAmount</t>
        </is>
      </c>
      <c r="F1" s="4" t="inlineStr">
        <is>
          <t>Premium</t>
        </is>
      </c>
      <c r="G1" s="4" t="inlineStr">
        <is>
          <t>Frequency</t>
        </is>
      </c>
      <c r="H1" s="4" t="inlineStr">
        <is>
          <t>Currency</t>
        </is>
      </c>
      <c r="I1" s="4" t="inlineStr">
        <is>
          <t>StartDate</t>
        </is>
      </c>
      <c r="J1" s="4" t="inlineStr">
        <is>
          <t>ReviewDate</t>
        </is>
      </c>
      <c r="K1" s="4" t="inlineStr">
        <is>
          <t>Beneficiaries</t>
        </is>
      </c>
      <c r="L1" s="4" t="inlineStr">
        <is>
          <t>LinkedGoalID</t>
        </is>
      </c>
      <c r="M1" s="4" t="inlineStr">
        <is>
          <t>Notes</t>
        </is>
      </c>
    </row>
    <row r="2">
      <c r="E2" s="6" t="n"/>
      <c r="F2" s="6" t="n"/>
      <c r="I2" s="5" t="n"/>
      <c r="J2" s="5" t="n"/>
    </row>
    <row r="3">
      <c r="E3" s="6" t="n"/>
      <c r="F3" s="6" t="n"/>
      <c r="I3" s="5" t="n"/>
      <c r="J3" s="5" t="n"/>
    </row>
    <row r="4">
      <c r="E4" s="6" t="n"/>
      <c r="F4" s="6" t="n"/>
      <c r="I4" s="5" t="n"/>
      <c r="J4" s="5" t="n"/>
    </row>
    <row r="5">
      <c r="E5" s="6" t="n"/>
      <c r="F5" s="6" t="n"/>
      <c r="I5" s="5" t="n"/>
      <c r="J5" s="5" t="n"/>
    </row>
    <row r="6">
      <c r="E6" s="6" t="n"/>
      <c r="F6" s="6" t="n"/>
      <c r="I6" s="5" t="n"/>
      <c r="J6" s="5" t="n"/>
    </row>
    <row r="7">
      <c r="E7" s="6" t="n"/>
      <c r="F7" s="6" t="n"/>
      <c r="I7" s="5" t="n"/>
      <c r="J7" s="5" t="n"/>
    </row>
    <row r="8">
      <c r="E8" s="6" t="n"/>
      <c r="F8" s="6" t="n"/>
      <c r="I8" s="5" t="n"/>
      <c r="J8" s="5" t="n"/>
    </row>
    <row r="9">
      <c r="E9" s="6" t="n"/>
      <c r="F9" s="6" t="n"/>
      <c r="I9" s="5" t="n"/>
      <c r="J9" s="5" t="n"/>
    </row>
    <row r="10">
      <c r="E10" s="6" t="n"/>
      <c r="F10" s="6" t="n"/>
      <c r="I10" s="5" t="n"/>
      <c r="J10" s="5" t="n"/>
    </row>
    <row r="11">
      <c r="E11" s="6" t="n"/>
      <c r="F11" s="6" t="n"/>
      <c r="I11" s="5" t="n"/>
      <c r="J11" s="5" t="n"/>
    </row>
    <row r="12">
      <c r="E12" s="6" t="n"/>
      <c r="F12" s="6" t="n"/>
      <c r="I12" s="5" t="n"/>
      <c r="J12" s="5" t="n"/>
    </row>
    <row r="13">
      <c r="E13" s="6" t="n"/>
      <c r="F13" s="6" t="n"/>
      <c r="I13" s="5" t="n"/>
      <c r="J13" s="5" t="n"/>
    </row>
    <row r="14">
      <c r="E14" s="6" t="n"/>
      <c r="F14" s="6" t="n"/>
      <c r="I14" s="5" t="n"/>
      <c r="J14" s="5" t="n"/>
    </row>
    <row r="15">
      <c r="E15" s="6" t="n"/>
      <c r="F15" s="6" t="n"/>
      <c r="I15" s="5" t="n"/>
      <c r="J15" s="5" t="n"/>
    </row>
    <row r="16">
      <c r="E16" s="6" t="n"/>
      <c r="F16" s="6" t="n"/>
      <c r="I16" s="5" t="n"/>
      <c r="J16" s="5" t="n"/>
    </row>
    <row r="17">
      <c r="E17" s="6" t="n"/>
      <c r="F17" s="6" t="n"/>
      <c r="I17" s="5" t="n"/>
      <c r="J17" s="5" t="n"/>
    </row>
    <row r="18">
      <c r="E18" s="6" t="n"/>
      <c r="F18" s="6" t="n"/>
      <c r="I18" s="5" t="n"/>
      <c r="J18" s="5" t="n"/>
    </row>
    <row r="19">
      <c r="E19" s="6" t="n"/>
      <c r="F19" s="6" t="n"/>
      <c r="I19" s="5" t="n"/>
      <c r="J19" s="5" t="n"/>
    </row>
    <row r="20">
      <c r="E20" s="6" t="n"/>
      <c r="F20" s="6" t="n"/>
      <c r="I20" s="5" t="n"/>
      <c r="J20" s="5" t="n"/>
    </row>
    <row r="21">
      <c r="E21" s="6" t="n"/>
      <c r="F21" s="6" t="n"/>
      <c r="I21" s="5" t="n"/>
      <c r="J21" s="5" t="n"/>
    </row>
    <row r="22">
      <c r="E22" s="6" t="n"/>
      <c r="F22" s="6" t="n"/>
      <c r="I22" s="5" t="n"/>
      <c r="J22" s="5" t="n"/>
    </row>
    <row r="23">
      <c r="E23" s="6" t="n"/>
      <c r="F23" s="6" t="n"/>
      <c r="I23" s="5" t="n"/>
      <c r="J23" s="5" t="n"/>
    </row>
    <row r="24">
      <c r="E24" s="6" t="n"/>
      <c r="F24" s="6" t="n"/>
      <c r="I24" s="5" t="n"/>
      <c r="J24" s="5" t="n"/>
    </row>
    <row r="25">
      <c r="E25" s="6" t="n"/>
      <c r="F25" s="6" t="n"/>
      <c r="I25" s="5" t="n"/>
      <c r="J25" s="5" t="n"/>
    </row>
    <row r="26">
      <c r="E26" s="6" t="n"/>
      <c r="F26" s="6" t="n"/>
      <c r="I26" s="5" t="n"/>
      <c r="J26" s="5" t="n"/>
    </row>
    <row r="27">
      <c r="E27" s="6" t="n"/>
      <c r="F27" s="6" t="n"/>
      <c r="I27" s="5" t="n"/>
      <c r="J27" s="5" t="n"/>
    </row>
    <row r="28">
      <c r="E28" s="6" t="n"/>
      <c r="F28" s="6" t="n"/>
      <c r="I28" s="5" t="n"/>
      <c r="J28" s="5" t="n"/>
    </row>
    <row r="29">
      <c r="E29" s="6" t="n"/>
      <c r="F29" s="6" t="n"/>
      <c r="I29" s="5" t="n"/>
      <c r="J29" s="5" t="n"/>
    </row>
    <row r="30">
      <c r="E30" s="6" t="n"/>
      <c r="F30" s="6" t="n"/>
      <c r="I30" s="5" t="n"/>
      <c r="J30" s="5" t="n"/>
    </row>
    <row r="31">
      <c r="E31" s="6" t="n"/>
      <c r="F31" s="6" t="n"/>
      <c r="I31" s="5" t="n"/>
      <c r="J31" s="5" t="n"/>
    </row>
    <row r="32">
      <c r="E32" s="6" t="n"/>
      <c r="F32" s="6" t="n"/>
      <c r="I32" s="5" t="n"/>
      <c r="J32" s="5" t="n"/>
    </row>
    <row r="33">
      <c r="E33" s="6" t="n"/>
      <c r="F33" s="6" t="n"/>
      <c r="I33" s="5" t="n"/>
      <c r="J33" s="5" t="n"/>
    </row>
    <row r="34">
      <c r="E34" s="6" t="n"/>
      <c r="F34" s="6" t="n"/>
      <c r="I34" s="5" t="n"/>
      <c r="J34" s="5" t="n"/>
    </row>
    <row r="35">
      <c r="E35" s="6" t="n"/>
      <c r="F35" s="6" t="n"/>
      <c r="I35" s="5" t="n"/>
      <c r="J35" s="5" t="n"/>
    </row>
    <row r="36">
      <c r="E36" s="6" t="n"/>
      <c r="F36" s="6" t="n"/>
      <c r="I36" s="5" t="n"/>
      <c r="J36" s="5" t="n"/>
    </row>
    <row r="37">
      <c r="E37" s="6" t="n"/>
      <c r="F37" s="6" t="n"/>
      <c r="I37" s="5" t="n"/>
      <c r="J37" s="5" t="n"/>
    </row>
    <row r="38">
      <c r="E38" s="6" t="n"/>
      <c r="F38" s="6" t="n"/>
      <c r="I38" s="5" t="n"/>
      <c r="J38" s="5" t="n"/>
    </row>
    <row r="39">
      <c r="E39" s="6" t="n"/>
      <c r="F39" s="6" t="n"/>
      <c r="I39" s="5" t="n"/>
      <c r="J39" s="5" t="n"/>
    </row>
    <row r="40">
      <c r="E40" s="6" t="n"/>
      <c r="F40" s="6" t="n"/>
      <c r="I40" s="5" t="n"/>
      <c r="J40" s="5" t="n"/>
    </row>
    <row r="41">
      <c r="E41" s="6" t="n"/>
      <c r="F41" s="6" t="n"/>
      <c r="I41" s="5" t="n"/>
      <c r="J41" s="5" t="n"/>
    </row>
    <row r="42">
      <c r="E42" s="6" t="n"/>
      <c r="F42" s="6" t="n"/>
      <c r="I42" s="5" t="n"/>
      <c r="J42" s="5" t="n"/>
    </row>
    <row r="43">
      <c r="E43" s="6" t="n"/>
      <c r="F43" s="6" t="n"/>
      <c r="I43" s="5" t="n"/>
      <c r="J43" s="5" t="n"/>
    </row>
    <row r="44">
      <c r="E44" s="6" t="n"/>
      <c r="F44" s="6" t="n"/>
      <c r="I44" s="5" t="n"/>
      <c r="J44" s="5" t="n"/>
    </row>
    <row r="45">
      <c r="E45" s="6" t="n"/>
      <c r="F45" s="6" t="n"/>
      <c r="I45" s="5" t="n"/>
      <c r="J45" s="5" t="n"/>
    </row>
    <row r="46">
      <c r="E46" s="6" t="n"/>
      <c r="F46" s="6" t="n"/>
      <c r="I46" s="5" t="n"/>
      <c r="J46" s="5" t="n"/>
    </row>
    <row r="47">
      <c r="E47" s="6" t="n"/>
      <c r="F47" s="6" t="n"/>
      <c r="I47" s="5" t="n"/>
      <c r="J47" s="5" t="n"/>
    </row>
    <row r="48">
      <c r="E48" s="6" t="n"/>
      <c r="F48" s="6" t="n"/>
      <c r="I48" s="5" t="n"/>
      <c r="J48" s="5" t="n"/>
    </row>
    <row r="49">
      <c r="E49" s="6" t="n"/>
      <c r="F49" s="6" t="n"/>
      <c r="I49" s="5" t="n"/>
      <c r="J49" s="5" t="n"/>
    </row>
    <row r="50">
      <c r="E50" s="6" t="n"/>
      <c r="F50" s="6" t="n"/>
      <c r="I50" s="5" t="n"/>
      <c r="J50" s="5" t="n"/>
    </row>
    <row r="51">
      <c r="E51" s="6" t="n"/>
      <c r="F51" s="6" t="n"/>
      <c r="I51" s="5" t="n"/>
      <c r="J51" s="5" t="n"/>
    </row>
    <row r="52">
      <c r="E52" s="6" t="n"/>
      <c r="F52" s="6" t="n"/>
      <c r="I52" s="5" t="n"/>
      <c r="J52" s="5" t="n"/>
    </row>
    <row r="53">
      <c r="E53" s="6" t="n"/>
      <c r="F53" s="6" t="n"/>
      <c r="I53" s="5" t="n"/>
      <c r="J53" s="5" t="n"/>
    </row>
    <row r="54">
      <c r="E54" s="6" t="n"/>
      <c r="F54" s="6" t="n"/>
      <c r="I54" s="5" t="n"/>
      <c r="J54" s="5" t="n"/>
    </row>
    <row r="55">
      <c r="E55" s="6" t="n"/>
      <c r="F55" s="6" t="n"/>
      <c r="I55" s="5" t="n"/>
      <c r="J55" s="5" t="n"/>
    </row>
    <row r="56">
      <c r="E56" s="6" t="n"/>
      <c r="F56" s="6" t="n"/>
      <c r="I56" s="5" t="n"/>
      <c r="J56" s="5" t="n"/>
    </row>
    <row r="57">
      <c r="E57" s="6" t="n"/>
      <c r="F57" s="6" t="n"/>
      <c r="I57" s="5" t="n"/>
      <c r="J57" s="5" t="n"/>
    </row>
    <row r="58">
      <c r="E58" s="6" t="n"/>
      <c r="F58" s="6" t="n"/>
      <c r="I58" s="5" t="n"/>
      <c r="J58" s="5" t="n"/>
    </row>
    <row r="59">
      <c r="E59" s="6" t="n"/>
      <c r="F59" s="6" t="n"/>
      <c r="I59" s="5" t="n"/>
      <c r="J59" s="5" t="n"/>
    </row>
    <row r="60">
      <c r="E60" s="6" t="n"/>
      <c r="F60" s="6" t="n"/>
      <c r="I60" s="5" t="n"/>
      <c r="J60" s="5" t="n"/>
    </row>
    <row r="61">
      <c r="E61" s="6" t="n"/>
      <c r="F61" s="6" t="n"/>
      <c r="I61" s="5" t="n"/>
      <c r="J61" s="5" t="n"/>
    </row>
    <row r="62">
      <c r="E62" s="6" t="n"/>
      <c r="F62" s="6" t="n"/>
      <c r="I62" s="5" t="n"/>
      <c r="J62" s="5" t="n"/>
    </row>
    <row r="63">
      <c r="E63" s="6" t="n"/>
      <c r="F63" s="6" t="n"/>
      <c r="I63" s="5" t="n"/>
      <c r="J63" s="5" t="n"/>
    </row>
    <row r="64">
      <c r="E64" s="6" t="n"/>
      <c r="F64" s="6" t="n"/>
      <c r="I64" s="5" t="n"/>
      <c r="J64" s="5" t="n"/>
    </row>
    <row r="65">
      <c r="E65" s="6" t="n"/>
      <c r="F65" s="6" t="n"/>
      <c r="I65" s="5" t="n"/>
      <c r="J65" s="5" t="n"/>
    </row>
    <row r="66">
      <c r="E66" s="6" t="n"/>
      <c r="F66" s="6" t="n"/>
      <c r="I66" s="5" t="n"/>
      <c r="J66" s="5" t="n"/>
    </row>
    <row r="67">
      <c r="E67" s="6" t="n"/>
      <c r="F67" s="6" t="n"/>
      <c r="I67" s="5" t="n"/>
      <c r="J67" s="5" t="n"/>
    </row>
    <row r="68">
      <c r="E68" s="6" t="n"/>
      <c r="F68" s="6" t="n"/>
      <c r="I68" s="5" t="n"/>
      <c r="J68" s="5" t="n"/>
    </row>
    <row r="69">
      <c r="E69" s="6" t="n"/>
      <c r="F69" s="6" t="n"/>
      <c r="I69" s="5" t="n"/>
      <c r="J69" s="5" t="n"/>
    </row>
    <row r="70">
      <c r="E70" s="6" t="n"/>
      <c r="F70" s="6" t="n"/>
      <c r="I70" s="5" t="n"/>
      <c r="J70" s="5" t="n"/>
    </row>
    <row r="71">
      <c r="E71" s="6" t="n"/>
      <c r="F71" s="6" t="n"/>
      <c r="I71" s="5" t="n"/>
      <c r="J71" s="5" t="n"/>
    </row>
    <row r="72">
      <c r="E72" s="6" t="n"/>
      <c r="F72" s="6" t="n"/>
      <c r="I72" s="5" t="n"/>
      <c r="J72" s="5" t="n"/>
    </row>
    <row r="73">
      <c r="E73" s="6" t="n"/>
      <c r="F73" s="6" t="n"/>
      <c r="I73" s="5" t="n"/>
      <c r="J73" s="5" t="n"/>
    </row>
    <row r="74">
      <c r="E74" s="6" t="n"/>
      <c r="F74" s="6" t="n"/>
      <c r="I74" s="5" t="n"/>
      <c r="J74" s="5" t="n"/>
    </row>
    <row r="75">
      <c r="E75" s="6" t="n"/>
      <c r="F75" s="6" t="n"/>
      <c r="I75" s="5" t="n"/>
      <c r="J75" s="5" t="n"/>
    </row>
    <row r="76">
      <c r="E76" s="6" t="n"/>
      <c r="F76" s="6" t="n"/>
      <c r="I76" s="5" t="n"/>
      <c r="J76" s="5" t="n"/>
    </row>
    <row r="77">
      <c r="E77" s="6" t="n"/>
      <c r="F77" s="6" t="n"/>
      <c r="I77" s="5" t="n"/>
      <c r="J77" s="5" t="n"/>
    </row>
    <row r="78">
      <c r="E78" s="6" t="n"/>
      <c r="F78" s="6" t="n"/>
      <c r="I78" s="5" t="n"/>
      <c r="J78" s="5" t="n"/>
    </row>
    <row r="79">
      <c r="E79" s="6" t="n"/>
      <c r="F79" s="6" t="n"/>
      <c r="I79" s="5" t="n"/>
      <c r="J79" s="5" t="n"/>
    </row>
    <row r="80">
      <c r="E80" s="6" t="n"/>
      <c r="F80" s="6" t="n"/>
      <c r="I80" s="5" t="n"/>
      <c r="J80" s="5" t="n"/>
    </row>
    <row r="81">
      <c r="E81" s="6" t="n"/>
      <c r="F81" s="6" t="n"/>
      <c r="I81" s="5" t="n"/>
      <c r="J81" s="5" t="n"/>
    </row>
    <row r="82">
      <c r="E82" s="6" t="n"/>
      <c r="F82" s="6" t="n"/>
      <c r="I82" s="5" t="n"/>
      <c r="J82" s="5" t="n"/>
    </row>
    <row r="83">
      <c r="E83" s="6" t="n"/>
      <c r="F83" s="6" t="n"/>
      <c r="I83" s="5" t="n"/>
      <c r="J83" s="5" t="n"/>
    </row>
    <row r="84">
      <c r="E84" s="6" t="n"/>
      <c r="F84" s="6" t="n"/>
      <c r="I84" s="5" t="n"/>
      <c r="J84" s="5" t="n"/>
    </row>
    <row r="85">
      <c r="E85" s="6" t="n"/>
      <c r="F85" s="6" t="n"/>
      <c r="I85" s="5" t="n"/>
      <c r="J85" s="5" t="n"/>
    </row>
    <row r="86">
      <c r="E86" s="6" t="n"/>
      <c r="F86" s="6" t="n"/>
      <c r="I86" s="5" t="n"/>
      <c r="J86" s="5" t="n"/>
    </row>
    <row r="87">
      <c r="E87" s="6" t="n"/>
      <c r="F87" s="6" t="n"/>
      <c r="I87" s="5" t="n"/>
      <c r="J87" s="5" t="n"/>
    </row>
    <row r="88">
      <c r="E88" s="6" t="n"/>
      <c r="F88" s="6" t="n"/>
      <c r="I88" s="5" t="n"/>
      <c r="J88" s="5" t="n"/>
    </row>
    <row r="89">
      <c r="E89" s="6" t="n"/>
      <c r="F89" s="6" t="n"/>
      <c r="I89" s="5" t="n"/>
      <c r="J89" s="5" t="n"/>
    </row>
    <row r="90">
      <c r="E90" s="6" t="n"/>
      <c r="F90" s="6" t="n"/>
      <c r="I90" s="5" t="n"/>
      <c r="J90" s="5" t="n"/>
    </row>
    <row r="91">
      <c r="E91" s="6" t="n"/>
      <c r="F91" s="6" t="n"/>
      <c r="I91" s="5" t="n"/>
      <c r="J91" s="5" t="n"/>
    </row>
    <row r="92">
      <c r="E92" s="6" t="n"/>
      <c r="F92" s="6" t="n"/>
      <c r="I92" s="5" t="n"/>
      <c r="J92" s="5" t="n"/>
    </row>
    <row r="93">
      <c r="E93" s="6" t="n"/>
      <c r="F93" s="6" t="n"/>
      <c r="I93" s="5" t="n"/>
      <c r="J93" s="5" t="n"/>
    </row>
    <row r="94">
      <c r="E94" s="6" t="n"/>
      <c r="F94" s="6" t="n"/>
      <c r="I94" s="5" t="n"/>
      <c r="J94" s="5" t="n"/>
    </row>
    <row r="95">
      <c r="E95" s="6" t="n"/>
      <c r="F95" s="6" t="n"/>
      <c r="I95" s="5" t="n"/>
      <c r="J95" s="5" t="n"/>
    </row>
    <row r="96">
      <c r="E96" s="6" t="n"/>
      <c r="F96" s="6" t="n"/>
      <c r="I96" s="5" t="n"/>
      <c r="J96" s="5" t="n"/>
    </row>
    <row r="97">
      <c r="E97" s="6" t="n"/>
      <c r="F97" s="6" t="n"/>
      <c r="I97" s="5" t="n"/>
      <c r="J97" s="5" t="n"/>
    </row>
    <row r="98">
      <c r="E98" s="6" t="n"/>
      <c r="F98" s="6" t="n"/>
      <c r="I98" s="5" t="n"/>
      <c r="J98" s="5" t="n"/>
    </row>
    <row r="99">
      <c r="E99" s="6" t="n"/>
      <c r="F99" s="6" t="n"/>
      <c r="I99" s="5" t="n"/>
      <c r="J99" s="5" t="n"/>
    </row>
    <row r="100">
      <c r="E100" s="6" t="n"/>
      <c r="F100" s="6" t="n"/>
      <c r="I100" s="5" t="n"/>
      <c r="J100" s="5" t="n"/>
    </row>
    <row r="101">
      <c r="E101" s="6" t="n"/>
      <c r="F101" s="6" t="n"/>
      <c r="I101" s="5" t="n"/>
      <c r="J101" s="5" t="n"/>
    </row>
    <row r="102">
      <c r="E102" s="6" t="n"/>
      <c r="F102" s="6" t="n"/>
      <c r="I102" s="5" t="n"/>
      <c r="J102" s="5" t="n"/>
    </row>
    <row r="103">
      <c r="E103" s="6" t="n"/>
      <c r="F103" s="6" t="n"/>
      <c r="I103" s="5" t="n"/>
      <c r="J103" s="5" t="n"/>
    </row>
    <row r="104">
      <c r="E104" s="6" t="n"/>
      <c r="F104" s="6" t="n"/>
      <c r="I104" s="5" t="n"/>
      <c r="J104" s="5" t="n"/>
    </row>
    <row r="105">
      <c r="E105" s="6" t="n"/>
      <c r="F105" s="6" t="n"/>
      <c r="I105" s="5" t="n"/>
      <c r="J105" s="5" t="n"/>
    </row>
    <row r="106">
      <c r="E106" s="6" t="n"/>
      <c r="F106" s="6" t="n"/>
      <c r="I106" s="5" t="n"/>
      <c r="J106" s="5" t="n"/>
    </row>
    <row r="107">
      <c r="E107" s="6" t="n"/>
      <c r="F107" s="6" t="n"/>
      <c r="I107" s="5" t="n"/>
      <c r="J107" s="5" t="n"/>
    </row>
    <row r="108">
      <c r="E108" s="6" t="n"/>
      <c r="F108" s="6" t="n"/>
      <c r="I108" s="5" t="n"/>
      <c r="J108" s="5" t="n"/>
    </row>
    <row r="109">
      <c r="E109" s="6" t="n"/>
      <c r="F109" s="6" t="n"/>
      <c r="I109" s="5" t="n"/>
      <c r="J109" s="5" t="n"/>
    </row>
    <row r="110">
      <c r="E110" s="6" t="n"/>
      <c r="F110" s="6" t="n"/>
      <c r="I110" s="5" t="n"/>
      <c r="J110" s="5" t="n"/>
    </row>
    <row r="111">
      <c r="E111" s="6" t="n"/>
      <c r="F111" s="6" t="n"/>
      <c r="I111" s="5" t="n"/>
      <c r="J111" s="5" t="n"/>
    </row>
    <row r="112">
      <c r="E112" s="6" t="n"/>
      <c r="F112" s="6" t="n"/>
      <c r="I112" s="5" t="n"/>
      <c r="J112" s="5" t="n"/>
    </row>
    <row r="113">
      <c r="E113" s="6" t="n"/>
      <c r="F113" s="6" t="n"/>
      <c r="I113" s="5" t="n"/>
      <c r="J113" s="5" t="n"/>
    </row>
    <row r="114">
      <c r="E114" s="6" t="n"/>
      <c r="F114" s="6" t="n"/>
      <c r="I114" s="5" t="n"/>
      <c r="J114" s="5" t="n"/>
    </row>
    <row r="115">
      <c r="E115" s="6" t="n"/>
      <c r="F115" s="6" t="n"/>
      <c r="I115" s="5" t="n"/>
      <c r="J115" s="5" t="n"/>
    </row>
    <row r="116">
      <c r="E116" s="6" t="n"/>
      <c r="F116" s="6" t="n"/>
      <c r="I116" s="5" t="n"/>
      <c r="J116" s="5" t="n"/>
    </row>
    <row r="117">
      <c r="E117" s="6" t="n"/>
      <c r="F117" s="6" t="n"/>
      <c r="I117" s="5" t="n"/>
      <c r="J117" s="5" t="n"/>
    </row>
    <row r="118">
      <c r="E118" s="6" t="n"/>
      <c r="F118" s="6" t="n"/>
      <c r="I118" s="5" t="n"/>
      <c r="J118" s="5" t="n"/>
    </row>
    <row r="119">
      <c r="E119" s="6" t="n"/>
      <c r="F119" s="6" t="n"/>
      <c r="I119" s="5" t="n"/>
      <c r="J119" s="5" t="n"/>
    </row>
    <row r="120">
      <c r="E120" s="6" t="n"/>
      <c r="F120" s="6" t="n"/>
      <c r="I120" s="5" t="n"/>
      <c r="J120" s="5" t="n"/>
    </row>
    <row r="121">
      <c r="E121" s="6" t="n"/>
      <c r="F121" s="6" t="n"/>
      <c r="I121" s="5" t="n"/>
      <c r="J121" s="5" t="n"/>
    </row>
    <row r="122">
      <c r="E122" s="6" t="n"/>
      <c r="F122" s="6" t="n"/>
      <c r="I122" s="5" t="n"/>
      <c r="J122" s="5" t="n"/>
    </row>
    <row r="123">
      <c r="E123" s="6" t="n"/>
      <c r="F123" s="6" t="n"/>
      <c r="I123" s="5" t="n"/>
      <c r="J123" s="5" t="n"/>
    </row>
    <row r="124">
      <c r="E124" s="6" t="n"/>
      <c r="F124" s="6" t="n"/>
      <c r="I124" s="5" t="n"/>
      <c r="J124" s="5" t="n"/>
    </row>
    <row r="125">
      <c r="E125" s="6" t="n"/>
      <c r="F125" s="6" t="n"/>
      <c r="I125" s="5" t="n"/>
      <c r="J125" s="5" t="n"/>
    </row>
    <row r="126">
      <c r="E126" s="6" t="n"/>
      <c r="F126" s="6" t="n"/>
      <c r="I126" s="5" t="n"/>
      <c r="J126" s="5" t="n"/>
    </row>
    <row r="127">
      <c r="E127" s="6" t="n"/>
      <c r="F127" s="6" t="n"/>
      <c r="I127" s="5" t="n"/>
      <c r="J127" s="5" t="n"/>
    </row>
    <row r="128">
      <c r="E128" s="6" t="n"/>
      <c r="F128" s="6" t="n"/>
      <c r="I128" s="5" t="n"/>
      <c r="J128" s="5" t="n"/>
    </row>
    <row r="129">
      <c r="E129" s="6" t="n"/>
      <c r="F129" s="6" t="n"/>
      <c r="I129" s="5" t="n"/>
      <c r="J129" s="5" t="n"/>
    </row>
    <row r="130">
      <c r="E130" s="6" t="n"/>
      <c r="F130" s="6" t="n"/>
      <c r="I130" s="5" t="n"/>
      <c r="J130" s="5" t="n"/>
    </row>
    <row r="131">
      <c r="E131" s="6" t="n"/>
      <c r="F131" s="6" t="n"/>
      <c r="I131" s="5" t="n"/>
      <c r="J131" s="5" t="n"/>
    </row>
    <row r="132">
      <c r="E132" s="6" t="n"/>
      <c r="F132" s="6" t="n"/>
      <c r="I132" s="5" t="n"/>
      <c r="J132" s="5" t="n"/>
    </row>
    <row r="133">
      <c r="E133" s="6" t="n"/>
      <c r="F133" s="6" t="n"/>
      <c r="I133" s="5" t="n"/>
      <c r="J133" s="5" t="n"/>
    </row>
    <row r="134">
      <c r="E134" s="6" t="n"/>
      <c r="F134" s="6" t="n"/>
      <c r="I134" s="5" t="n"/>
      <c r="J134" s="5" t="n"/>
    </row>
    <row r="135">
      <c r="E135" s="6" t="n"/>
      <c r="F135" s="6" t="n"/>
      <c r="I135" s="5" t="n"/>
      <c r="J135" s="5" t="n"/>
    </row>
    <row r="136">
      <c r="E136" s="6" t="n"/>
      <c r="F136" s="6" t="n"/>
      <c r="I136" s="5" t="n"/>
      <c r="J136" s="5" t="n"/>
    </row>
    <row r="137">
      <c r="E137" s="6" t="n"/>
      <c r="F137" s="6" t="n"/>
      <c r="I137" s="5" t="n"/>
      <c r="J137" s="5" t="n"/>
    </row>
    <row r="138">
      <c r="E138" s="6" t="n"/>
      <c r="F138" s="6" t="n"/>
      <c r="I138" s="5" t="n"/>
      <c r="J138" s="5" t="n"/>
    </row>
    <row r="139">
      <c r="E139" s="6" t="n"/>
      <c r="F139" s="6" t="n"/>
      <c r="I139" s="5" t="n"/>
      <c r="J139" s="5" t="n"/>
    </row>
    <row r="140">
      <c r="E140" s="6" t="n"/>
      <c r="F140" s="6" t="n"/>
      <c r="I140" s="5" t="n"/>
      <c r="J140" s="5" t="n"/>
    </row>
    <row r="141">
      <c r="E141" s="6" t="n"/>
      <c r="F141" s="6" t="n"/>
      <c r="I141" s="5" t="n"/>
      <c r="J141" s="5" t="n"/>
    </row>
    <row r="142">
      <c r="E142" s="6" t="n"/>
      <c r="F142" s="6" t="n"/>
      <c r="I142" s="5" t="n"/>
      <c r="J142" s="5" t="n"/>
    </row>
    <row r="143">
      <c r="E143" s="6" t="n"/>
      <c r="F143" s="6" t="n"/>
      <c r="I143" s="5" t="n"/>
      <c r="J143" s="5" t="n"/>
    </row>
    <row r="144">
      <c r="E144" s="6" t="n"/>
      <c r="F144" s="6" t="n"/>
      <c r="I144" s="5" t="n"/>
      <c r="J144" s="5" t="n"/>
    </row>
    <row r="145">
      <c r="E145" s="6" t="n"/>
      <c r="F145" s="6" t="n"/>
      <c r="I145" s="5" t="n"/>
      <c r="J145" s="5" t="n"/>
    </row>
    <row r="146">
      <c r="E146" s="6" t="n"/>
      <c r="F146" s="6" t="n"/>
      <c r="I146" s="5" t="n"/>
      <c r="J146" s="5" t="n"/>
    </row>
    <row r="147">
      <c r="E147" s="6" t="n"/>
      <c r="F147" s="6" t="n"/>
      <c r="I147" s="5" t="n"/>
      <c r="J147" s="5" t="n"/>
    </row>
    <row r="148">
      <c r="E148" s="6" t="n"/>
      <c r="F148" s="6" t="n"/>
      <c r="I148" s="5" t="n"/>
      <c r="J148" s="5" t="n"/>
    </row>
    <row r="149">
      <c r="E149" s="6" t="n"/>
      <c r="F149" s="6" t="n"/>
      <c r="I149" s="5" t="n"/>
      <c r="J149" s="5" t="n"/>
    </row>
    <row r="150">
      <c r="E150" s="6" t="n"/>
      <c r="F150" s="6" t="n"/>
      <c r="I150" s="5" t="n"/>
      <c r="J150" s="5" t="n"/>
    </row>
    <row r="151">
      <c r="E151" s="6" t="n"/>
      <c r="F151" s="6" t="n"/>
      <c r="I151" s="5" t="n"/>
      <c r="J151" s="5" t="n"/>
    </row>
    <row r="152">
      <c r="E152" s="6" t="n"/>
      <c r="F152" s="6" t="n"/>
      <c r="I152" s="5" t="n"/>
      <c r="J152" s="5" t="n"/>
    </row>
    <row r="153">
      <c r="E153" s="6" t="n"/>
      <c r="F153" s="6" t="n"/>
      <c r="I153" s="5" t="n"/>
      <c r="J153" s="5" t="n"/>
    </row>
    <row r="154">
      <c r="E154" s="6" t="n"/>
      <c r="F154" s="6" t="n"/>
      <c r="I154" s="5" t="n"/>
      <c r="J154" s="5" t="n"/>
    </row>
    <row r="155">
      <c r="E155" s="6" t="n"/>
      <c r="F155" s="6" t="n"/>
      <c r="I155" s="5" t="n"/>
      <c r="J155" s="5" t="n"/>
    </row>
    <row r="156">
      <c r="E156" s="6" t="n"/>
      <c r="F156" s="6" t="n"/>
      <c r="I156" s="5" t="n"/>
      <c r="J156" s="5" t="n"/>
    </row>
    <row r="157">
      <c r="E157" s="6" t="n"/>
      <c r="F157" s="6" t="n"/>
      <c r="I157" s="5" t="n"/>
      <c r="J157" s="5" t="n"/>
    </row>
    <row r="158">
      <c r="E158" s="6" t="n"/>
      <c r="F158" s="6" t="n"/>
      <c r="I158" s="5" t="n"/>
      <c r="J158" s="5" t="n"/>
    </row>
    <row r="159">
      <c r="E159" s="6" t="n"/>
      <c r="F159" s="6" t="n"/>
      <c r="I159" s="5" t="n"/>
      <c r="J159" s="5" t="n"/>
    </row>
    <row r="160">
      <c r="E160" s="6" t="n"/>
      <c r="F160" s="6" t="n"/>
      <c r="I160" s="5" t="n"/>
      <c r="J160" s="5" t="n"/>
    </row>
    <row r="161">
      <c r="E161" s="6" t="n"/>
      <c r="F161" s="6" t="n"/>
      <c r="I161" s="5" t="n"/>
      <c r="J161" s="5" t="n"/>
    </row>
    <row r="162">
      <c r="E162" s="6" t="n"/>
      <c r="F162" s="6" t="n"/>
      <c r="I162" s="5" t="n"/>
      <c r="J162" s="5" t="n"/>
    </row>
    <row r="163">
      <c r="E163" s="6" t="n"/>
      <c r="F163" s="6" t="n"/>
      <c r="I163" s="5" t="n"/>
      <c r="J163" s="5" t="n"/>
    </row>
    <row r="164">
      <c r="E164" s="6" t="n"/>
      <c r="F164" s="6" t="n"/>
      <c r="I164" s="5" t="n"/>
      <c r="J164" s="5" t="n"/>
    </row>
    <row r="165">
      <c r="E165" s="6" t="n"/>
      <c r="F165" s="6" t="n"/>
      <c r="I165" s="5" t="n"/>
      <c r="J165" s="5" t="n"/>
    </row>
    <row r="166">
      <c r="E166" s="6" t="n"/>
      <c r="F166" s="6" t="n"/>
      <c r="I166" s="5" t="n"/>
      <c r="J166" s="5" t="n"/>
    </row>
    <row r="167">
      <c r="E167" s="6" t="n"/>
      <c r="F167" s="6" t="n"/>
      <c r="I167" s="5" t="n"/>
      <c r="J167" s="5" t="n"/>
    </row>
    <row r="168">
      <c r="E168" s="6" t="n"/>
      <c r="F168" s="6" t="n"/>
      <c r="I168" s="5" t="n"/>
      <c r="J168" s="5" t="n"/>
    </row>
    <row r="169">
      <c r="E169" s="6" t="n"/>
      <c r="F169" s="6" t="n"/>
      <c r="I169" s="5" t="n"/>
      <c r="J169" s="5" t="n"/>
    </row>
    <row r="170">
      <c r="E170" s="6" t="n"/>
      <c r="F170" s="6" t="n"/>
      <c r="I170" s="5" t="n"/>
      <c r="J170" s="5" t="n"/>
    </row>
    <row r="171">
      <c r="E171" s="6" t="n"/>
      <c r="F171" s="6" t="n"/>
      <c r="I171" s="5" t="n"/>
      <c r="J171" s="5" t="n"/>
    </row>
    <row r="172">
      <c r="E172" s="6" t="n"/>
      <c r="F172" s="6" t="n"/>
      <c r="I172" s="5" t="n"/>
      <c r="J172" s="5" t="n"/>
    </row>
    <row r="173">
      <c r="E173" s="6" t="n"/>
      <c r="F173" s="6" t="n"/>
      <c r="I173" s="5" t="n"/>
      <c r="J173" s="5" t="n"/>
    </row>
    <row r="174">
      <c r="E174" s="6" t="n"/>
      <c r="F174" s="6" t="n"/>
      <c r="I174" s="5" t="n"/>
      <c r="J174" s="5" t="n"/>
    </row>
    <row r="175">
      <c r="E175" s="6" t="n"/>
      <c r="F175" s="6" t="n"/>
      <c r="I175" s="5" t="n"/>
      <c r="J175" s="5" t="n"/>
    </row>
    <row r="176">
      <c r="E176" s="6" t="n"/>
      <c r="F176" s="6" t="n"/>
      <c r="I176" s="5" t="n"/>
      <c r="J176" s="5" t="n"/>
    </row>
    <row r="177">
      <c r="E177" s="6" t="n"/>
      <c r="F177" s="6" t="n"/>
      <c r="I177" s="5" t="n"/>
      <c r="J177" s="5" t="n"/>
    </row>
    <row r="178">
      <c r="E178" s="6" t="n"/>
      <c r="F178" s="6" t="n"/>
      <c r="I178" s="5" t="n"/>
      <c r="J178" s="5" t="n"/>
    </row>
    <row r="179">
      <c r="E179" s="6" t="n"/>
      <c r="F179" s="6" t="n"/>
      <c r="I179" s="5" t="n"/>
      <c r="J179" s="5" t="n"/>
    </row>
    <row r="180">
      <c r="E180" s="6" t="n"/>
      <c r="F180" s="6" t="n"/>
      <c r="I180" s="5" t="n"/>
      <c r="J180" s="5" t="n"/>
    </row>
    <row r="181">
      <c r="E181" s="6" t="n"/>
      <c r="F181" s="6" t="n"/>
      <c r="I181" s="5" t="n"/>
      <c r="J181" s="5" t="n"/>
    </row>
    <row r="182">
      <c r="E182" s="6" t="n"/>
      <c r="F182" s="6" t="n"/>
      <c r="I182" s="5" t="n"/>
      <c r="J182" s="5" t="n"/>
    </row>
    <row r="183">
      <c r="E183" s="6" t="n"/>
      <c r="F183" s="6" t="n"/>
      <c r="I183" s="5" t="n"/>
      <c r="J183" s="5" t="n"/>
    </row>
    <row r="184">
      <c r="E184" s="6" t="n"/>
      <c r="F184" s="6" t="n"/>
      <c r="I184" s="5" t="n"/>
      <c r="J184" s="5" t="n"/>
    </row>
    <row r="185">
      <c r="E185" s="6" t="n"/>
      <c r="F185" s="6" t="n"/>
      <c r="I185" s="5" t="n"/>
      <c r="J185" s="5" t="n"/>
    </row>
    <row r="186">
      <c r="E186" s="6" t="n"/>
      <c r="F186" s="6" t="n"/>
      <c r="I186" s="5" t="n"/>
      <c r="J186" s="5" t="n"/>
    </row>
    <row r="187">
      <c r="E187" s="6" t="n"/>
      <c r="F187" s="6" t="n"/>
      <c r="I187" s="5" t="n"/>
      <c r="J187" s="5" t="n"/>
    </row>
    <row r="188">
      <c r="E188" s="6" t="n"/>
      <c r="F188" s="6" t="n"/>
      <c r="I188" s="5" t="n"/>
      <c r="J188" s="5" t="n"/>
    </row>
    <row r="189">
      <c r="E189" s="6" t="n"/>
      <c r="F189" s="6" t="n"/>
      <c r="I189" s="5" t="n"/>
      <c r="J189" s="5" t="n"/>
    </row>
    <row r="190">
      <c r="E190" s="6" t="n"/>
      <c r="F190" s="6" t="n"/>
      <c r="I190" s="5" t="n"/>
      <c r="J190" s="5" t="n"/>
    </row>
    <row r="191">
      <c r="E191" s="6" t="n"/>
      <c r="F191" s="6" t="n"/>
      <c r="I191" s="5" t="n"/>
      <c r="J191" s="5" t="n"/>
    </row>
    <row r="192">
      <c r="E192" s="6" t="n"/>
      <c r="F192" s="6" t="n"/>
      <c r="I192" s="5" t="n"/>
      <c r="J192" s="5" t="n"/>
    </row>
    <row r="193">
      <c r="E193" s="6" t="n"/>
      <c r="F193" s="6" t="n"/>
      <c r="I193" s="5" t="n"/>
      <c r="J193" s="5" t="n"/>
    </row>
    <row r="194">
      <c r="E194" s="6" t="n"/>
      <c r="F194" s="6" t="n"/>
      <c r="I194" s="5" t="n"/>
      <c r="J194" s="5" t="n"/>
    </row>
    <row r="195">
      <c r="E195" s="6" t="n"/>
      <c r="F195" s="6" t="n"/>
      <c r="I195" s="5" t="n"/>
      <c r="J195" s="5" t="n"/>
    </row>
    <row r="196">
      <c r="E196" s="6" t="n"/>
      <c r="F196" s="6" t="n"/>
      <c r="I196" s="5" t="n"/>
      <c r="J196" s="5" t="n"/>
    </row>
    <row r="197">
      <c r="E197" s="6" t="n"/>
      <c r="F197" s="6" t="n"/>
      <c r="I197" s="5" t="n"/>
      <c r="J197" s="5" t="n"/>
    </row>
    <row r="198">
      <c r="E198" s="6" t="n"/>
      <c r="F198" s="6" t="n"/>
      <c r="I198" s="5" t="n"/>
      <c r="J198" s="5" t="n"/>
    </row>
    <row r="199">
      <c r="E199" s="6" t="n"/>
      <c r="F199" s="6" t="n"/>
      <c r="I199" s="5" t="n"/>
      <c r="J199" s="5" t="n"/>
    </row>
    <row r="200">
      <c r="E200" s="6" t="n"/>
      <c r="F200" s="6" t="n"/>
      <c r="I200" s="5" t="n"/>
      <c r="J200" s="5" t="n"/>
    </row>
    <row r="201">
      <c r="E201" s="6" t="n"/>
      <c r="F201" s="6" t="n"/>
      <c r="I201" s="5" t="n"/>
      <c r="J201" s="5" t="n"/>
    </row>
    <row r="202">
      <c r="E202" s="6" t="n"/>
      <c r="F202" s="6" t="n"/>
      <c r="I202" s="5" t="n"/>
      <c r="J202" s="5" t="n"/>
    </row>
    <row r="203">
      <c r="E203" s="6" t="n"/>
      <c r="F203" s="6" t="n"/>
      <c r="I203" s="5" t="n"/>
      <c r="J203" s="5" t="n"/>
    </row>
    <row r="204">
      <c r="E204" s="6" t="n"/>
      <c r="F204" s="6" t="n"/>
      <c r="I204" s="5" t="n"/>
      <c r="J204" s="5" t="n"/>
    </row>
    <row r="205">
      <c r="E205" s="6" t="n"/>
      <c r="F205" s="6" t="n"/>
      <c r="I205" s="5" t="n"/>
      <c r="J205" s="5" t="n"/>
    </row>
    <row r="206">
      <c r="E206" s="6" t="n"/>
      <c r="F206" s="6" t="n"/>
      <c r="I206" s="5" t="n"/>
      <c r="J206" s="5" t="n"/>
    </row>
    <row r="207">
      <c r="E207" s="6" t="n"/>
      <c r="F207" s="6" t="n"/>
      <c r="I207" s="5" t="n"/>
      <c r="J207" s="5" t="n"/>
    </row>
    <row r="208">
      <c r="E208" s="6" t="n"/>
      <c r="F208" s="6" t="n"/>
      <c r="I208" s="5" t="n"/>
      <c r="J208" s="5" t="n"/>
    </row>
    <row r="209">
      <c r="E209" s="6" t="n"/>
      <c r="F209" s="6" t="n"/>
      <c r="I209" s="5" t="n"/>
      <c r="J209" s="5" t="n"/>
    </row>
    <row r="210">
      <c r="E210" s="6" t="n"/>
      <c r="F210" s="6" t="n"/>
      <c r="I210" s="5" t="n"/>
      <c r="J210" s="5" t="n"/>
    </row>
    <row r="211">
      <c r="E211" s="6" t="n"/>
      <c r="F211" s="6" t="n"/>
      <c r="I211" s="5" t="n"/>
      <c r="J211" s="5" t="n"/>
    </row>
    <row r="212">
      <c r="E212" s="6" t="n"/>
      <c r="F212" s="6" t="n"/>
      <c r="I212" s="5" t="n"/>
      <c r="J212" s="5" t="n"/>
    </row>
    <row r="213">
      <c r="E213" s="6" t="n"/>
      <c r="F213" s="6" t="n"/>
      <c r="I213" s="5" t="n"/>
      <c r="J213" s="5" t="n"/>
    </row>
    <row r="214">
      <c r="E214" s="6" t="n"/>
      <c r="F214" s="6" t="n"/>
      <c r="I214" s="5" t="n"/>
      <c r="J214" s="5" t="n"/>
    </row>
    <row r="215">
      <c r="E215" s="6" t="n"/>
      <c r="F215" s="6" t="n"/>
      <c r="I215" s="5" t="n"/>
      <c r="J215" s="5" t="n"/>
    </row>
    <row r="216">
      <c r="E216" s="6" t="n"/>
      <c r="F216" s="6" t="n"/>
      <c r="I216" s="5" t="n"/>
      <c r="J216" s="5" t="n"/>
    </row>
    <row r="217">
      <c r="E217" s="6" t="n"/>
      <c r="F217" s="6" t="n"/>
      <c r="I217" s="5" t="n"/>
      <c r="J217" s="5" t="n"/>
    </row>
    <row r="218">
      <c r="E218" s="6" t="n"/>
      <c r="F218" s="6" t="n"/>
      <c r="I218" s="5" t="n"/>
      <c r="J218" s="5" t="n"/>
    </row>
    <row r="219">
      <c r="E219" s="6" t="n"/>
      <c r="F219" s="6" t="n"/>
      <c r="I219" s="5" t="n"/>
      <c r="J219" s="5" t="n"/>
    </row>
    <row r="220">
      <c r="E220" s="6" t="n"/>
      <c r="F220" s="6" t="n"/>
      <c r="I220" s="5" t="n"/>
      <c r="J220" s="5" t="n"/>
    </row>
    <row r="221">
      <c r="E221" s="6" t="n"/>
      <c r="F221" s="6" t="n"/>
      <c r="I221" s="5" t="n"/>
      <c r="J221" s="5" t="n"/>
    </row>
    <row r="222">
      <c r="E222" s="6" t="n"/>
      <c r="F222" s="6" t="n"/>
      <c r="I222" s="5" t="n"/>
      <c r="J222" s="5" t="n"/>
    </row>
    <row r="223">
      <c r="E223" s="6" t="n"/>
      <c r="F223" s="6" t="n"/>
      <c r="I223" s="5" t="n"/>
      <c r="J223" s="5" t="n"/>
    </row>
    <row r="224">
      <c r="E224" s="6" t="n"/>
      <c r="F224" s="6" t="n"/>
      <c r="I224" s="5" t="n"/>
      <c r="J224" s="5" t="n"/>
    </row>
    <row r="225">
      <c r="E225" s="6" t="n"/>
      <c r="F225" s="6" t="n"/>
      <c r="I225" s="5" t="n"/>
      <c r="J225" s="5" t="n"/>
    </row>
    <row r="226">
      <c r="E226" s="6" t="n"/>
      <c r="F226" s="6" t="n"/>
      <c r="I226" s="5" t="n"/>
      <c r="J226" s="5" t="n"/>
    </row>
    <row r="227">
      <c r="E227" s="6" t="n"/>
      <c r="F227" s="6" t="n"/>
      <c r="I227" s="5" t="n"/>
      <c r="J227" s="5" t="n"/>
    </row>
    <row r="228">
      <c r="E228" s="6" t="n"/>
      <c r="F228" s="6" t="n"/>
      <c r="I228" s="5" t="n"/>
      <c r="J228" s="5" t="n"/>
    </row>
    <row r="229">
      <c r="E229" s="6" t="n"/>
      <c r="F229" s="6" t="n"/>
      <c r="I229" s="5" t="n"/>
      <c r="J229" s="5" t="n"/>
    </row>
    <row r="230">
      <c r="E230" s="6" t="n"/>
      <c r="F230" s="6" t="n"/>
      <c r="I230" s="5" t="n"/>
      <c r="J230" s="5" t="n"/>
    </row>
    <row r="231">
      <c r="E231" s="6" t="n"/>
      <c r="F231" s="6" t="n"/>
      <c r="I231" s="5" t="n"/>
      <c r="J231" s="5" t="n"/>
    </row>
    <row r="232">
      <c r="E232" s="6" t="n"/>
      <c r="F232" s="6" t="n"/>
      <c r="I232" s="5" t="n"/>
      <c r="J232" s="5" t="n"/>
    </row>
    <row r="233">
      <c r="E233" s="6" t="n"/>
      <c r="F233" s="6" t="n"/>
      <c r="I233" s="5" t="n"/>
      <c r="J233" s="5" t="n"/>
    </row>
    <row r="234">
      <c r="E234" s="6" t="n"/>
      <c r="F234" s="6" t="n"/>
      <c r="I234" s="5" t="n"/>
      <c r="J234" s="5" t="n"/>
    </row>
    <row r="235">
      <c r="E235" s="6" t="n"/>
      <c r="F235" s="6" t="n"/>
      <c r="I235" s="5" t="n"/>
      <c r="J235" s="5" t="n"/>
    </row>
    <row r="236">
      <c r="E236" s="6" t="n"/>
      <c r="F236" s="6" t="n"/>
      <c r="I236" s="5" t="n"/>
      <c r="J236" s="5" t="n"/>
    </row>
    <row r="237">
      <c r="E237" s="6" t="n"/>
      <c r="F237" s="6" t="n"/>
      <c r="I237" s="5" t="n"/>
      <c r="J237" s="5" t="n"/>
    </row>
    <row r="238">
      <c r="E238" s="6" t="n"/>
      <c r="F238" s="6" t="n"/>
      <c r="I238" s="5" t="n"/>
      <c r="J238" s="5" t="n"/>
    </row>
    <row r="239">
      <c r="E239" s="6" t="n"/>
      <c r="F239" s="6" t="n"/>
      <c r="I239" s="5" t="n"/>
      <c r="J239" s="5" t="n"/>
    </row>
    <row r="240">
      <c r="E240" s="6" t="n"/>
      <c r="F240" s="6" t="n"/>
      <c r="I240" s="5" t="n"/>
      <c r="J240" s="5" t="n"/>
    </row>
    <row r="241">
      <c r="E241" s="6" t="n"/>
      <c r="F241" s="6" t="n"/>
      <c r="I241" s="5" t="n"/>
      <c r="J241" s="5" t="n"/>
    </row>
    <row r="242">
      <c r="E242" s="6" t="n"/>
      <c r="F242" s="6" t="n"/>
      <c r="I242" s="5" t="n"/>
      <c r="J242" s="5" t="n"/>
    </row>
    <row r="243">
      <c r="E243" s="6" t="n"/>
      <c r="F243" s="6" t="n"/>
      <c r="I243" s="5" t="n"/>
      <c r="J243" s="5" t="n"/>
    </row>
    <row r="244">
      <c r="E244" s="6" t="n"/>
      <c r="F244" s="6" t="n"/>
      <c r="I244" s="5" t="n"/>
      <c r="J244" s="5" t="n"/>
    </row>
    <row r="245">
      <c r="E245" s="6" t="n"/>
      <c r="F245" s="6" t="n"/>
      <c r="I245" s="5" t="n"/>
      <c r="J245" s="5" t="n"/>
    </row>
    <row r="246">
      <c r="E246" s="6" t="n"/>
      <c r="F246" s="6" t="n"/>
      <c r="I246" s="5" t="n"/>
      <c r="J246" s="5" t="n"/>
    </row>
    <row r="247">
      <c r="E247" s="6" t="n"/>
      <c r="F247" s="6" t="n"/>
      <c r="I247" s="5" t="n"/>
      <c r="J247" s="5" t="n"/>
    </row>
    <row r="248">
      <c r="E248" s="6" t="n"/>
      <c r="F248" s="6" t="n"/>
      <c r="I248" s="5" t="n"/>
      <c r="J248" s="5" t="n"/>
    </row>
    <row r="249">
      <c r="E249" s="6" t="n"/>
      <c r="F249" s="6" t="n"/>
      <c r="I249" s="5" t="n"/>
      <c r="J249" s="5" t="n"/>
    </row>
    <row r="250">
      <c r="E250" s="6" t="n"/>
      <c r="F250" s="6" t="n"/>
      <c r="I250" s="5" t="n"/>
      <c r="J250" s="5" t="n"/>
    </row>
    <row r="251">
      <c r="E251" s="6" t="n"/>
      <c r="F251" s="6" t="n"/>
      <c r="I251" s="5" t="n"/>
      <c r="J251" s="5" t="n"/>
    </row>
    <row r="252">
      <c r="E252" s="6" t="n"/>
      <c r="F252" s="6" t="n"/>
      <c r="I252" s="5" t="n"/>
      <c r="J252" s="5" t="n"/>
    </row>
    <row r="253">
      <c r="E253" s="6" t="n"/>
      <c r="F253" s="6" t="n"/>
      <c r="I253" s="5" t="n"/>
      <c r="J253" s="5" t="n"/>
    </row>
    <row r="254">
      <c r="E254" s="6" t="n"/>
      <c r="F254" s="6" t="n"/>
      <c r="I254" s="5" t="n"/>
      <c r="J254" s="5" t="n"/>
    </row>
    <row r="255">
      <c r="E255" s="6" t="n"/>
      <c r="F255" s="6" t="n"/>
      <c r="I255" s="5" t="n"/>
      <c r="J255" s="5" t="n"/>
    </row>
    <row r="256">
      <c r="E256" s="6" t="n"/>
      <c r="F256" s="6" t="n"/>
      <c r="I256" s="5" t="n"/>
      <c r="J256" s="5" t="n"/>
    </row>
    <row r="257">
      <c r="E257" s="6" t="n"/>
      <c r="F257" s="6" t="n"/>
      <c r="I257" s="5" t="n"/>
      <c r="J257" s="5" t="n"/>
    </row>
    <row r="258">
      <c r="E258" s="6" t="n"/>
      <c r="F258" s="6" t="n"/>
      <c r="I258" s="5" t="n"/>
      <c r="J258" s="5" t="n"/>
    </row>
    <row r="259">
      <c r="E259" s="6" t="n"/>
      <c r="F259" s="6" t="n"/>
      <c r="I259" s="5" t="n"/>
      <c r="J259" s="5" t="n"/>
    </row>
    <row r="260">
      <c r="E260" s="6" t="n"/>
      <c r="F260" s="6" t="n"/>
      <c r="I260" s="5" t="n"/>
      <c r="J260" s="5" t="n"/>
    </row>
    <row r="261">
      <c r="E261" s="6" t="n"/>
      <c r="F261" s="6" t="n"/>
      <c r="I261" s="5" t="n"/>
      <c r="J261" s="5" t="n"/>
    </row>
    <row r="262">
      <c r="E262" s="6" t="n"/>
      <c r="F262" s="6" t="n"/>
      <c r="I262" s="5" t="n"/>
      <c r="J262" s="5" t="n"/>
    </row>
    <row r="263">
      <c r="E263" s="6" t="n"/>
      <c r="F263" s="6" t="n"/>
      <c r="I263" s="5" t="n"/>
      <c r="J263" s="5" t="n"/>
    </row>
    <row r="264">
      <c r="E264" s="6" t="n"/>
      <c r="F264" s="6" t="n"/>
      <c r="I264" s="5" t="n"/>
      <c r="J264" s="5" t="n"/>
    </row>
    <row r="265">
      <c r="E265" s="6" t="n"/>
      <c r="F265" s="6" t="n"/>
      <c r="I265" s="5" t="n"/>
      <c r="J265" s="5" t="n"/>
    </row>
    <row r="266">
      <c r="E266" s="6" t="n"/>
      <c r="F266" s="6" t="n"/>
      <c r="I266" s="5" t="n"/>
      <c r="J266" s="5" t="n"/>
    </row>
    <row r="267">
      <c r="E267" s="6" t="n"/>
      <c r="F267" s="6" t="n"/>
      <c r="I267" s="5" t="n"/>
      <c r="J267" s="5" t="n"/>
    </row>
    <row r="268">
      <c r="E268" s="6" t="n"/>
      <c r="F268" s="6" t="n"/>
      <c r="I268" s="5" t="n"/>
      <c r="J268" s="5" t="n"/>
    </row>
    <row r="269">
      <c r="E269" s="6" t="n"/>
      <c r="F269" s="6" t="n"/>
      <c r="I269" s="5" t="n"/>
      <c r="J269" s="5" t="n"/>
    </row>
    <row r="270">
      <c r="E270" s="6" t="n"/>
      <c r="F270" s="6" t="n"/>
      <c r="I270" s="5" t="n"/>
      <c r="J270" s="5" t="n"/>
    </row>
    <row r="271">
      <c r="E271" s="6" t="n"/>
      <c r="F271" s="6" t="n"/>
      <c r="I271" s="5" t="n"/>
      <c r="J271" s="5" t="n"/>
    </row>
    <row r="272">
      <c r="E272" s="6" t="n"/>
      <c r="F272" s="6" t="n"/>
      <c r="I272" s="5" t="n"/>
      <c r="J272" s="5" t="n"/>
    </row>
    <row r="273">
      <c r="E273" s="6" t="n"/>
      <c r="F273" s="6" t="n"/>
      <c r="I273" s="5" t="n"/>
      <c r="J273" s="5" t="n"/>
    </row>
    <row r="274">
      <c r="E274" s="6" t="n"/>
      <c r="F274" s="6" t="n"/>
      <c r="I274" s="5" t="n"/>
      <c r="J274" s="5" t="n"/>
    </row>
    <row r="275">
      <c r="E275" s="6" t="n"/>
      <c r="F275" s="6" t="n"/>
      <c r="I275" s="5" t="n"/>
      <c r="J275" s="5" t="n"/>
    </row>
    <row r="276">
      <c r="E276" s="6" t="n"/>
      <c r="F276" s="6" t="n"/>
      <c r="I276" s="5" t="n"/>
      <c r="J276" s="5" t="n"/>
    </row>
    <row r="277">
      <c r="E277" s="6" t="n"/>
      <c r="F277" s="6" t="n"/>
      <c r="I277" s="5" t="n"/>
      <c r="J277" s="5" t="n"/>
    </row>
    <row r="278">
      <c r="E278" s="6" t="n"/>
      <c r="F278" s="6" t="n"/>
      <c r="I278" s="5" t="n"/>
      <c r="J278" s="5" t="n"/>
    </row>
    <row r="279">
      <c r="E279" s="6" t="n"/>
      <c r="F279" s="6" t="n"/>
      <c r="I279" s="5" t="n"/>
      <c r="J279" s="5" t="n"/>
    </row>
    <row r="280">
      <c r="E280" s="6" t="n"/>
      <c r="F280" s="6" t="n"/>
      <c r="I280" s="5" t="n"/>
      <c r="J280" s="5" t="n"/>
    </row>
    <row r="281">
      <c r="E281" s="6" t="n"/>
      <c r="F281" s="6" t="n"/>
      <c r="I281" s="5" t="n"/>
      <c r="J281" s="5" t="n"/>
    </row>
    <row r="282">
      <c r="E282" s="6" t="n"/>
      <c r="F282" s="6" t="n"/>
      <c r="I282" s="5" t="n"/>
      <c r="J282" s="5" t="n"/>
    </row>
    <row r="283">
      <c r="E283" s="6" t="n"/>
      <c r="F283" s="6" t="n"/>
      <c r="I283" s="5" t="n"/>
      <c r="J283" s="5" t="n"/>
    </row>
    <row r="284">
      <c r="E284" s="6" t="n"/>
      <c r="F284" s="6" t="n"/>
      <c r="I284" s="5" t="n"/>
      <c r="J284" s="5" t="n"/>
    </row>
    <row r="285">
      <c r="E285" s="6" t="n"/>
      <c r="F285" s="6" t="n"/>
      <c r="I285" s="5" t="n"/>
      <c r="J285" s="5" t="n"/>
    </row>
    <row r="286">
      <c r="E286" s="6" t="n"/>
      <c r="F286" s="6" t="n"/>
      <c r="I286" s="5" t="n"/>
      <c r="J286" s="5" t="n"/>
    </row>
    <row r="287">
      <c r="E287" s="6" t="n"/>
      <c r="F287" s="6" t="n"/>
      <c r="I287" s="5" t="n"/>
      <c r="J287" s="5" t="n"/>
    </row>
    <row r="288">
      <c r="E288" s="6" t="n"/>
      <c r="F288" s="6" t="n"/>
      <c r="I288" s="5" t="n"/>
      <c r="J288" s="5" t="n"/>
    </row>
    <row r="289">
      <c r="E289" s="6" t="n"/>
      <c r="F289" s="6" t="n"/>
      <c r="I289" s="5" t="n"/>
      <c r="J289" s="5" t="n"/>
    </row>
    <row r="290">
      <c r="E290" s="6" t="n"/>
      <c r="F290" s="6" t="n"/>
      <c r="I290" s="5" t="n"/>
      <c r="J290" s="5" t="n"/>
    </row>
    <row r="291">
      <c r="E291" s="6" t="n"/>
      <c r="F291" s="6" t="n"/>
      <c r="I291" s="5" t="n"/>
      <c r="J291" s="5" t="n"/>
    </row>
    <row r="292">
      <c r="E292" s="6" t="n"/>
      <c r="F292" s="6" t="n"/>
      <c r="I292" s="5" t="n"/>
      <c r="J292" s="5" t="n"/>
    </row>
    <row r="293">
      <c r="E293" s="6" t="n"/>
      <c r="F293" s="6" t="n"/>
      <c r="I293" s="5" t="n"/>
      <c r="J293" s="5" t="n"/>
    </row>
    <row r="294">
      <c r="E294" s="6" t="n"/>
      <c r="F294" s="6" t="n"/>
      <c r="I294" s="5" t="n"/>
      <c r="J294" s="5" t="n"/>
    </row>
    <row r="295">
      <c r="E295" s="6" t="n"/>
      <c r="F295" s="6" t="n"/>
      <c r="I295" s="5" t="n"/>
      <c r="J295" s="5" t="n"/>
    </row>
    <row r="296">
      <c r="E296" s="6" t="n"/>
      <c r="F296" s="6" t="n"/>
      <c r="I296" s="5" t="n"/>
      <c r="J296" s="5" t="n"/>
    </row>
    <row r="297">
      <c r="E297" s="6" t="n"/>
      <c r="F297" s="6" t="n"/>
      <c r="I297" s="5" t="n"/>
      <c r="J297" s="5" t="n"/>
    </row>
    <row r="298">
      <c r="E298" s="6" t="n"/>
      <c r="F298" s="6" t="n"/>
      <c r="I298" s="5" t="n"/>
      <c r="J298" s="5" t="n"/>
    </row>
    <row r="299">
      <c r="E299" s="6" t="n"/>
      <c r="F299" s="6" t="n"/>
      <c r="I299" s="5" t="n"/>
      <c r="J299" s="5" t="n"/>
    </row>
    <row r="300">
      <c r="E300" s="6" t="n"/>
      <c r="F300" s="6" t="n"/>
      <c r="I300" s="5" t="n"/>
      <c r="J300" s="5" t="n"/>
    </row>
    <row r="301">
      <c r="E301" s="6" t="n"/>
      <c r="F301" s="6" t="n"/>
      <c r="I301" s="5" t="n"/>
      <c r="J301" s="5" t="n"/>
    </row>
    <row r="302">
      <c r="E302" s="6" t="n"/>
      <c r="F302" s="6" t="n"/>
      <c r="I302" s="5" t="n"/>
      <c r="J302" s="5" t="n"/>
    </row>
    <row r="303">
      <c r="E303" s="6" t="n"/>
      <c r="F303" s="6" t="n"/>
      <c r="I303" s="5" t="n"/>
      <c r="J303" s="5" t="n"/>
    </row>
    <row r="304">
      <c r="E304" s="6" t="n"/>
      <c r="F304" s="6" t="n"/>
      <c r="I304" s="5" t="n"/>
      <c r="J304" s="5" t="n"/>
    </row>
    <row r="305">
      <c r="E305" s="6" t="n"/>
      <c r="F305" s="6" t="n"/>
      <c r="I305" s="5" t="n"/>
      <c r="J305" s="5" t="n"/>
    </row>
    <row r="306">
      <c r="E306" s="6" t="n"/>
      <c r="F306" s="6" t="n"/>
      <c r="I306" s="5" t="n"/>
      <c r="J306" s="5" t="n"/>
    </row>
    <row r="307">
      <c r="E307" s="6" t="n"/>
      <c r="F307" s="6" t="n"/>
      <c r="I307" s="5" t="n"/>
      <c r="J307" s="5" t="n"/>
    </row>
    <row r="308">
      <c r="E308" s="6" t="n"/>
      <c r="F308" s="6" t="n"/>
      <c r="I308" s="5" t="n"/>
      <c r="J308" s="5" t="n"/>
    </row>
    <row r="309">
      <c r="E309" s="6" t="n"/>
      <c r="F309" s="6" t="n"/>
      <c r="I309" s="5" t="n"/>
      <c r="J309" s="5" t="n"/>
    </row>
    <row r="310">
      <c r="E310" s="6" t="n"/>
      <c r="F310" s="6" t="n"/>
      <c r="I310" s="5" t="n"/>
      <c r="J310" s="5" t="n"/>
    </row>
    <row r="311">
      <c r="E311" s="6" t="n"/>
      <c r="F311" s="6" t="n"/>
      <c r="I311" s="5" t="n"/>
      <c r="J311" s="5" t="n"/>
    </row>
    <row r="312">
      <c r="E312" s="6" t="n"/>
      <c r="F312" s="6" t="n"/>
      <c r="I312" s="5" t="n"/>
      <c r="J312" s="5" t="n"/>
    </row>
    <row r="313">
      <c r="E313" s="6" t="n"/>
      <c r="F313" s="6" t="n"/>
      <c r="I313" s="5" t="n"/>
      <c r="J313" s="5" t="n"/>
    </row>
    <row r="314">
      <c r="E314" s="6" t="n"/>
      <c r="F314" s="6" t="n"/>
      <c r="I314" s="5" t="n"/>
      <c r="J314" s="5" t="n"/>
    </row>
    <row r="315">
      <c r="E315" s="6" t="n"/>
      <c r="F315" s="6" t="n"/>
      <c r="I315" s="5" t="n"/>
      <c r="J315" s="5" t="n"/>
    </row>
    <row r="316">
      <c r="E316" s="6" t="n"/>
      <c r="F316" s="6" t="n"/>
      <c r="I316" s="5" t="n"/>
      <c r="J316" s="5" t="n"/>
    </row>
    <row r="317">
      <c r="E317" s="6" t="n"/>
      <c r="F317" s="6" t="n"/>
      <c r="I317" s="5" t="n"/>
      <c r="J317" s="5" t="n"/>
    </row>
    <row r="318">
      <c r="E318" s="6" t="n"/>
      <c r="F318" s="6" t="n"/>
      <c r="I318" s="5" t="n"/>
      <c r="J318" s="5" t="n"/>
    </row>
    <row r="319">
      <c r="E319" s="6" t="n"/>
      <c r="F319" s="6" t="n"/>
      <c r="I319" s="5" t="n"/>
      <c r="J319" s="5" t="n"/>
    </row>
    <row r="320">
      <c r="E320" s="6" t="n"/>
      <c r="F320" s="6" t="n"/>
      <c r="I320" s="5" t="n"/>
      <c r="J320" s="5" t="n"/>
    </row>
    <row r="321">
      <c r="E321" s="6" t="n"/>
      <c r="F321" s="6" t="n"/>
      <c r="I321" s="5" t="n"/>
      <c r="J321" s="5" t="n"/>
    </row>
    <row r="322">
      <c r="E322" s="6" t="n"/>
      <c r="F322" s="6" t="n"/>
      <c r="I322" s="5" t="n"/>
      <c r="J322" s="5" t="n"/>
    </row>
    <row r="323">
      <c r="E323" s="6" t="n"/>
      <c r="F323" s="6" t="n"/>
      <c r="I323" s="5" t="n"/>
      <c r="J323" s="5" t="n"/>
    </row>
    <row r="324">
      <c r="E324" s="6" t="n"/>
      <c r="F324" s="6" t="n"/>
      <c r="I324" s="5" t="n"/>
      <c r="J324" s="5" t="n"/>
    </row>
    <row r="325">
      <c r="E325" s="6" t="n"/>
      <c r="F325" s="6" t="n"/>
      <c r="I325" s="5" t="n"/>
      <c r="J325" s="5" t="n"/>
    </row>
    <row r="326">
      <c r="E326" s="6" t="n"/>
      <c r="F326" s="6" t="n"/>
      <c r="I326" s="5" t="n"/>
      <c r="J326" s="5" t="n"/>
    </row>
    <row r="327">
      <c r="E327" s="6" t="n"/>
      <c r="F327" s="6" t="n"/>
      <c r="I327" s="5" t="n"/>
      <c r="J327" s="5" t="n"/>
    </row>
    <row r="328">
      <c r="E328" s="6" t="n"/>
      <c r="F328" s="6" t="n"/>
      <c r="I328" s="5" t="n"/>
      <c r="J328" s="5" t="n"/>
    </row>
    <row r="329">
      <c r="E329" s="6" t="n"/>
      <c r="F329" s="6" t="n"/>
      <c r="I329" s="5" t="n"/>
      <c r="J329" s="5" t="n"/>
    </row>
    <row r="330">
      <c r="E330" s="6" t="n"/>
      <c r="F330" s="6" t="n"/>
      <c r="I330" s="5" t="n"/>
      <c r="J330" s="5" t="n"/>
    </row>
    <row r="331">
      <c r="E331" s="6" t="n"/>
      <c r="F331" s="6" t="n"/>
      <c r="I331" s="5" t="n"/>
      <c r="J331" s="5" t="n"/>
    </row>
    <row r="332">
      <c r="E332" s="6" t="n"/>
      <c r="F332" s="6" t="n"/>
      <c r="I332" s="5" t="n"/>
      <c r="J332" s="5" t="n"/>
    </row>
    <row r="333">
      <c r="E333" s="6" t="n"/>
      <c r="F333" s="6" t="n"/>
      <c r="I333" s="5" t="n"/>
      <c r="J333" s="5" t="n"/>
    </row>
    <row r="334">
      <c r="E334" s="6" t="n"/>
      <c r="F334" s="6" t="n"/>
      <c r="I334" s="5" t="n"/>
      <c r="J334" s="5" t="n"/>
    </row>
    <row r="335">
      <c r="E335" s="6" t="n"/>
      <c r="F335" s="6" t="n"/>
      <c r="I335" s="5" t="n"/>
      <c r="J335" s="5" t="n"/>
    </row>
    <row r="336">
      <c r="E336" s="6" t="n"/>
      <c r="F336" s="6" t="n"/>
      <c r="I336" s="5" t="n"/>
      <c r="J336" s="5" t="n"/>
    </row>
    <row r="337">
      <c r="E337" s="6" t="n"/>
      <c r="F337" s="6" t="n"/>
      <c r="I337" s="5" t="n"/>
      <c r="J337" s="5" t="n"/>
    </row>
    <row r="338">
      <c r="E338" s="6" t="n"/>
      <c r="F338" s="6" t="n"/>
      <c r="I338" s="5" t="n"/>
      <c r="J338" s="5" t="n"/>
    </row>
    <row r="339">
      <c r="E339" s="6" t="n"/>
      <c r="F339" s="6" t="n"/>
      <c r="I339" s="5" t="n"/>
      <c r="J339" s="5" t="n"/>
    </row>
    <row r="340">
      <c r="E340" s="6" t="n"/>
      <c r="F340" s="6" t="n"/>
      <c r="I340" s="5" t="n"/>
      <c r="J340" s="5" t="n"/>
    </row>
    <row r="341">
      <c r="E341" s="6" t="n"/>
      <c r="F341" s="6" t="n"/>
      <c r="I341" s="5" t="n"/>
      <c r="J341" s="5" t="n"/>
    </row>
    <row r="342">
      <c r="E342" s="6" t="n"/>
      <c r="F342" s="6" t="n"/>
      <c r="I342" s="5" t="n"/>
      <c r="J342" s="5" t="n"/>
    </row>
    <row r="343">
      <c r="E343" s="6" t="n"/>
      <c r="F343" s="6" t="n"/>
      <c r="I343" s="5" t="n"/>
      <c r="J343" s="5" t="n"/>
    </row>
    <row r="344">
      <c r="E344" s="6" t="n"/>
      <c r="F344" s="6" t="n"/>
      <c r="I344" s="5" t="n"/>
      <c r="J344" s="5" t="n"/>
    </row>
    <row r="345">
      <c r="E345" s="6" t="n"/>
      <c r="F345" s="6" t="n"/>
      <c r="I345" s="5" t="n"/>
      <c r="J345" s="5" t="n"/>
    </row>
    <row r="346">
      <c r="E346" s="6" t="n"/>
      <c r="F346" s="6" t="n"/>
      <c r="I346" s="5" t="n"/>
      <c r="J346" s="5" t="n"/>
    </row>
    <row r="347">
      <c r="E347" s="6" t="n"/>
      <c r="F347" s="6" t="n"/>
      <c r="I347" s="5" t="n"/>
      <c r="J347" s="5" t="n"/>
    </row>
    <row r="348">
      <c r="E348" s="6" t="n"/>
      <c r="F348" s="6" t="n"/>
      <c r="I348" s="5" t="n"/>
      <c r="J348" s="5" t="n"/>
    </row>
    <row r="349">
      <c r="E349" s="6" t="n"/>
      <c r="F349" s="6" t="n"/>
      <c r="I349" s="5" t="n"/>
      <c r="J349" s="5" t="n"/>
    </row>
    <row r="350">
      <c r="E350" s="6" t="n"/>
      <c r="F350" s="6" t="n"/>
      <c r="I350" s="5" t="n"/>
      <c r="J350" s="5" t="n"/>
    </row>
    <row r="351">
      <c r="E351" s="6" t="n"/>
      <c r="F351" s="6" t="n"/>
      <c r="I351" s="5" t="n"/>
      <c r="J351" s="5" t="n"/>
    </row>
    <row r="352">
      <c r="E352" s="6" t="n"/>
      <c r="F352" s="6" t="n"/>
      <c r="I352" s="5" t="n"/>
      <c r="J352" s="5" t="n"/>
    </row>
    <row r="353">
      <c r="E353" s="6" t="n"/>
      <c r="F353" s="6" t="n"/>
      <c r="I353" s="5" t="n"/>
      <c r="J353" s="5" t="n"/>
    </row>
    <row r="354">
      <c r="E354" s="6" t="n"/>
      <c r="F354" s="6" t="n"/>
      <c r="I354" s="5" t="n"/>
      <c r="J354" s="5" t="n"/>
    </row>
    <row r="355">
      <c r="E355" s="6" t="n"/>
      <c r="F355" s="6" t="n"/>
      <c r="I355" s="5" t="n"/>
      <c r="J355" s="5" t="n"/>
    </row>
    <row r="356">
      <c r="E356" s="6" t="n"/>
      <c r="F356" s="6" t="n"/>
      <c r="I356" s="5" t="n"/>
      <c r="J356" s="5" t="n"/>
    </row>
    <row r="357">
      <c r="E357" s="6" t="n"/>
      <c r="F357" s="6" t="n"/>
      <c r="I357" s="5" t="n"/>
      <c r="J357" s="5" t="n"/>
    </row>
    <row r="358">
      <c r="E358" s="6" t="n"/>
      <c r="F358" s="6" t="n"/>
      <c r="I358" s="5" t="n"/>
      <c r="J358" s="5" t="n"/>
    </row>
    <row r="359">
      <c r="E359" s="6" t="n"/>
      <c r="F359" s="6" t="n"/>
      <c r="I359" s="5" t="n"/>
      <c r="J359" s="5" t="n"/>
    </row>
    <row r="360">
      <c r="E360" s="6" t="n"/>
      <c r="F360" s="6" t="n"/>
      <c r="I360" s="5" t="n"/>
      <c r="J360" s="5" t="n"/>
    </row>
    <row r="361">
      <c r="E361" s="6" t="n"/>
      <c r="F361" s="6" t="n"/>
      <c r="I361" s="5" t="n"/>
      <c r="J361" s="5" t="n"/>
    </row>
    <row r="362">
      <c r="E362" s="6" t="n"/>
      <c r="F362" s="6" t="n"/>
      <c r="I362" s="5" t="n"/>
      <c r="J362" s="5" t="n"/>
    </row>
    <row r="363">
      <c r="E363" s="6" t="n"/>
      <c r="F363" s="6" t="n"/>
      <c r="I363" s="5" t="n"/>
      <c r="J363" s="5" t="n"/>
    </row>
    <row r="364">
      <c r="E364" s="6" t="n"/>
      <c r="F364" s="6" t="n"/>
      <c r="I364" s="5" t="n"/>
      <c r="J364" s="5" t="n"/>
    </row>
    <row r="365">
      <c r="E365" s="6" t="n"/>
      <c r="F365" s="6" t="n"/>
      <c r="I365" s="5" t="n"/>
      <c r="J365" s="5" t="n"/>
    </row>
    <row r="366">
      <c r="E366" s="6" t="n"/>
      <c r="F366" s="6" t="n"/>
      <c r="I366" s="5" t="n"/>
      <c r="J366" s="5" t="n"/>
    </row>
    <row r="367">
      <c r="E367" s="6" t="n"/>
      <c r="F367" s="6" t="n"/>
      <c r="I367" s="5" t="n"/>
      <c r="J367" s="5" t="n"/>
    </row>
    <row r="368">
      <c r="E368" s="6" t="n"/>
      <c r="F368" s="6" t="n"/>
      <c r="I368" s="5" t="n"/>
      <c r="J368" s="5" t="n"/>
    </row>
    <row r="369">
      <c r="E369" s="6" t="n"/>
      <c r="F369" s="6" t="n"/>
      <c r="I369" s="5" t="n"/>
      <c r="J369" s="5" t="n"/>
    </row>
    <row r="370">
      <c r="E370" s="6" t="n"/>
      <c r="F370" s="6" t="n"/>
      <c r="I370" s="5" t="n"/>
      <c r="J370" s="5" t="n"/>
    </row>
    <row r="371">
      <c r="E371" s="6" t="n"/>
      <c r="F371" s="6" t="n"/>
      <c r="I371" s="5" t="n"/>
      <c r="J371" s="5" t="n"/>
    </row>
    <row r="372">
      <c r="E372" s="6" t="n"/>
      <c r="F372" s="6" t="n"/>
      <c r="I372" s="5" t="n"/>
      <c r="J372" s="5" t="n"/>
    </row>
    <row r="373">
      <c r="E373" s="6" t="n"/>
      <c r="F373" s="6" t="n"/>
      <c r="I373" s="5" t="n"/>
      <c r="J373" s="5" t="n"/>
    </row>
    <row r="374">
      <c r="E374" s="6" t="n"/>
      <c r="F374" s="6" t="n"/>
      <c r="I374" s="5" t="n"/>
      <c r="J374" s="5" t="n"/>
    </row>
    <row r="375">
      <c r="E375" s="6" t="n"/>
      <c r="F375" s="6" t="n"/>
      <c r="I375" s="5" t="n"/>
      <c r="J375" s="5" t="n"/>
    </row>
    <row r="376">
      <c r="E376" s="6" t="n"/>
      <c r="F376" s="6" t="n"/>
      <c r="I376" s="5" t="n"/>
      <c r="J376" s="5" t="n"/>
    </row>
    <row r="377">
      <c r="E377" s="6" t="n"/>
      <c r="F377" s="6" t="n"/>
      <c r="I377" s="5" t="n"/>
      <c r="J377" s="5" t="n"/>
    </row>
    <row r="378">
      <c r="E378" s="6" t="n"/>
      <c r="F378" s="6" t="n"/>
      <c r="I378" s="5" t="n"/>
      <c r="J378" s="5" t="n"/>
    </row>
    <row r="379">
      <c r="E379" s="6" t="n"/>
      <c r="F379" s="6" t="n"/>
      <c r="I379" s="5" t="n"/>
      <c r="J379" s="5" t="n"/>
    </row>
    <row r="380">
      <c r="E380" s="6" t="n"/>
      <c r="F380" s="6" t="n"/>
      <c r="I380" s="5" t="n"/>
      <c r="J380" s="5" t="n"/>
    </row>
    <row r="381">
      <c r="E381" s="6" t="n"/>
      <c r="F381" s="6" t="n"/>
      <c r="I381" s="5" t="n"/>
      <c r="J381" s="5" t="n"/>
    </row>
    <row r="382">
      <c r="E382" s="6" t="n"/>
      <c r="F382" s="6" t="n"/>
      <c r="I382" s="5" t="n"/>
      <c r="J382" s="5" t="n"/>
    </row>
    <row r="383">
      <c r="E383" s="6" t="n"/>
      <c r="F383" s="6" t="n"/>
      <c r="I383" s="5" t="n"/>
      <c r="J383" s="5" t="n"/>
    </row>
    <row r="384">
      <c r="E384" s="6" t="n"/>
      <c r="F384" s="6" t="n"/>
      <c r="I384" s="5" t="n"/>
      <c r="J384" s="5" t="n"/>
    </row>
    <row r="385">
      <c r="E385" s="6" t="n"/>
      <c r="F385" s="6" t="n"/>
      <c r="I385" s="5" t="n"/>
      <c r="J385" s="5" t="n"/>
    </row>
    <row r="386">
      <c r="E386" s="6" t="n"/>
      <c r="F386" s="6" t="n"/>
      <c r="I386" s="5" t="n"/>
      <c r="J386" s="5" t="n"/>
    </row>
    <row r="387">
      <c r="E387" s="6" t="n"/>
      <c r="F387" s="6" t="n"/>
      <c r="I387" s="5" t="n"/>
      <c r="J387" s="5" t="n"/>
    </row>
    <row r="388">
      <c r="E388" s="6" t="n"/>
      <c r="F388" s="6" t="n"/>
      <c r="I388" s="5" t="n"/>
      <c r="J388" s="5" t="n"/>
    </row>
    <row r="389">
      <c r="E389" s="6" t="n"/>
      <c r="F389" s="6" t="n"/>
      <c r="I389" s="5" t="n"/>
      <c r="J389" s="5" t="n"/>
    </row>
    <row r="390">
      <c r="E390" s="6" t="n"/>
      <c r="F390" s="6" t="n"/>
      <c r="I390" s="5" t="n"/>
      <c r="J390" s="5" t="n"/>
    </row>
    <row r="391">
      <c r="E391" s="6" t="n"/>
      <c r="F391" s="6" t="n"/>
      <c r="I391" s="5" t="n"/>
      <c r="J391" s="5" t="n"/>
    </row>
    <row r="392">
      <c r="E392" s="6" t="n"/>
      <c r="F392" s="6" t="n"/>
      <c r="I392" s="5" t="n"/>
      <c r="J392" s="5" t="n"/>
    </row>
    <row r="393">
      <c r="E393" s="6" t="n"/>
      <c r="F393" s="6" t="n"/>
      <c r="I393" s="5" t="n"/>
      <c r="J393" s="5" t="n"/>
    </row>
    <row r="394">
      <c r="E394" s="6" t="n"/>
      <c r="F394" s="6" t="n"/>
      <c r="I394" s="5" t="n"/>
      <c r="J394" s="5" t="n"/>
    </row>
    <row r="395">
      <c r="E395" s="6" t="n"/>
      <c r="F395" s="6" t="n"/>
      <c r="I395" s="5" t="n"/>
      <c r="J395" s="5" t="n"/>
    </row>
    <row r="396">
      <c r="E396" s="6" t="n"/>
      <c r="F396" s="6" t="n"/>
      <c r="I396" s="5" t="n"/>
      <c r="J396" s="5" t="n"/>
    </row>
    <row r="397">
      <c r="E397" s="6" t="n"/>
      <c r="F397" s="6" t="n"/>
      <c r="I397" s="5" t="n"/>
      <c r="J397" s="5" t="n"/>
    </row>
    <row r="398">
      <c r="E398" s="6" t="n"/>
      <c r="F398" s="6" t="n"/>
      <c r="I398" s="5" t="n"/>
      <c r="J398" s="5" t="n"/>
    </row>
    <row r="399">
      <c r="E399" s="6" t="n"/>
      <c r="F399" s="6" t="n"/>
      <c r="I399" s="5" t="n"/>
      <c r="J399" s="5" t="n"/>
    </row>
    <row r="400">
      <c r="E400" s="6" t="n"/>
      <c r="F400" s="6" t="n"/>
      <c r="I400" s="5" t="n"/>
      <c r="J400" s="5" t="n"/>
    </row>
    <row r="401">
      <c r="E401" s="6" t="n"/>
      <c r="F401" s="6" t="n"/>
      <c r="I401" s="5" t="n"/>
      <c r="J401" s="5" t="n"/>
    </row>
    <row r="402">
      <c r="E402" s="6" t="n"/>
      <c r="F402" s="6" t="n"/>
      <c r="I402" s="5" t="n"/>
      <c r="J402" s="5" t="n"/>
    </row>
    <row r="403">
      <c r="E403" s="6" t="n"/>
      <c r="F403" s="6" t="n"/>
      <c r="I403" s="5" t="n"/>
      <c r="J403" s="5" t="n"/>
    </row>
    <row r="404">
      <c r="E404" s="6" t="n"/>
      <c r="F404" s="6" t="n"/>
      <c r="I404" s="5" t="n"/>
      <c r="J404" s="5" t="n"/>
    </row>
    <row r="405">
      <c r="E405" s="6" t="n"/>
      <c r="F405" s="6" t="n"/>
      <c r="I405" s="5" t="n"/>
      <c r="J405" s="5" t="n"/>
    </row>
    <row r="406">
      <c r="E406" s="6" t="n"/>
      <c r="F406" s="6" t="n"/>
      <c r="I406" s="5" t="n"/>
      <c r="J406" s="5" t="n"/>
    </row>
    <row r="407">
      <c r="E407" s="6" t="n"/>
      <c r="F407" s="6" t="n"/>
      <c r="I407" s="5" t="n"/>
      <c r="J407" s="5" t="n"/>
    </row>
    <row r="408">
      <c r="E408" s="6" t="n"/>
      <c r="F408" s="6" t="n"/>
      <c r="I408" s="5" t="n"/>
      <c r="J408" s="5" t="n"/>
    </row>
    <row r="409">
      <c r="E409" s="6" t="n"/>
      <c r="F409" s="6" t="n"/>
      <c r="I409" s="5" t="n"/>
      <c r="J409" s="5" t="n"/>
    </row>
    <row r="410">
      <c r="E410" s="6" t="n"/>
      <c r="F410" s="6" t="n"/>
      <c r="I410" s="5" t="n"/>
      <c r="J410" s="5" t="n"/>
    </row>
    <row r="411">
      <c r="E411" s="6" t="n"/>
      <c r="F411" s="6" t="n"/>
      <c r="I411" s="5" t="n"/>
      <c r="J411" s="5" t="n"/>
    </row>
    <row r="412">
      <c r="E412" s="6" t="n"/>
      <c r="F412" s="6" t="n"/>
      <c r="I412" s="5" t="n"/>
      <c r="J412" s="5" t="n"/>
    </row>
    <row r="413">
      <c r="E413" s="6" t="n"/>
      <c r="F413" s="6" t="n"/>
      <c r="I413" s="5" t="n"/>
      <c r="J413" s="5" t="n"/>
    </row>
    <row r="414">
      <c r="E414" s="6" t="n"/>
      <c r="F414" s="6" t="n"/>
      <c r="I414" s="5" t="n"/>
      <c r="J414" s="5" t="n"/>
    </row>
    <row r="415">
      <c r="E415" s="6" t="n"/>
      <c r="F415" s="6" t="n"/>
      <c r="I415" s="5" t="n"/>
      <c r="J415" s="5" t="n"/>
    </row>
    <row r="416">
      <c r="E416" s="6" t="n"/>
      <c r="F416" s="6" t="n"/>
      <c r="I416" s="5" t="n"/>
      <c r="J416" s="5" t="n"/>
    </row>
    <row r="417">
      <c r="E417" s="6" t="n"/>
      <c r="F417" s="6" t="n"/>
      <c r="I417" s="5" t="n"/>
      <c r="J417" s="5" t="n"/>
    </row>
    <row r="418">
      <c r="E418" s="6" t="n"/>
      <c r="F418" s="6" t="n"/>
      <c r="I418" s="5" t="n"/>
      <c r="J418" s="5" t="n"/>
    </row>
    <row r="419">
      <c r="E419" s="6" t="n"/>
      <c r="F419" s="6" t="n"/>
      <c r="I419" s="5" t="n"/>
      <c r="J419" s="5" t="n"/>
    </row>
    <row r="420">
      <c r="E420" s="6" t="n"/>
      <c r="F420" s="6" t="n"/>
      <c r="I420" s="5" t="n"/>
      <c r="J420" s="5" t="n"/>
    </row>
    <row r="421">
      <c r="E421" s="6" t="n"/>
      <c r="F421" s="6" t="n"/>
      <c r="I421" s="5" t="n"/>
      <c r="J421" s="5" t="n"/>
    </row>
    <row r="422">
      <c r="E422" s="6" t="n"/>
      <c r="F422" s="6" t="n"/>
      <c r="I422" s="5" t="n"/>
      <c r="J422" s="5" t="n"/>
    </row>
    <row r="423">
      <c r="E423" s="6" t="n"/>
      <c r="F423" s="6" t="n"/>
      <c r="I423" s="5" t="n"/>
      <c r="J423" s="5" t="n"/>
    </row>
    <row r="424">
      <c r="E424" s="6" t="n"/>
      <c r="F424" s="6" t="n"/>
      <c r="I424" s="5" t="n"/>
      <c r="J424" s="5" t="n"/>
    </row>
    <row r="425">
      <c r="E425" s="6" t="n"/>
      <c r="F425" s="6" t="n"/>
      <c r="I425" s="5" t="n"/>
      <c r="J425" s="5" t="n"/>
    </row>
    <row r="426">
      <c r="E426" s="6" t="n"/>
      <c r="F426" s="6" t="n"/>
      <c r="I426" s="5" t="n"/>
      <c r="J426" s="5" t="n"/>
    </row>
    <row r="427">
      <c r="E427" s="6" t="n"/>
      <c r="F427" s="6" t="n"/>
      <c r="I427" s="5" t="n"/>
      <c r="J427" s="5" t="n"/>
    </row>
    <row r="428">
      <c r="E428" s="6" t="n"/>
      <c r="F428" s="6" t="n"/>
      <c r="I428" s="5" t="n"/>
      <c r="J428" s="5" t="n"/>
    </row>
    <row r="429">
      <c r="E429" s="6" t="n"/>
      <c r="F429" s="6" t="n"/>
      <c r="I429" s="5" t="n"/>
      <c r="J429" s="5" t="n"/>
    </row>
    <row r="430">
      <c r="E430" s="6" t="n"/>
      <c r="F430" s="6" t="n"/>
      <c r="I430" s="5" t="n"/>
      <c r="J430" s="5" t="n"/>
    </row>
    <row r="431">
      <c r="E431" s="6" t="n"/>
      <c r="F431" s="6" t="n"/>
      <c r="I431" s="5" t="n"/>
      <c r="J431" s="5" t="n"/>
    </row>
    <row r="432">
      <c r="E432" s="6" t="n"/>
      <c r="F432" s="6" t="n"/>
      <c r="I432" s="5" t="n"/>
      <c r="J432" s="5" t="n"/>
    </row>
    <row r="433">
      <c r="E433" s="6" t="n"/>
      <c r="F433" s="6" t="n"/>
      <c r="I433" s="5" t="n"/>
      <c r="J433" s="5" t="n"/>
    </row>
    <row r="434">
      <c r="E434" s="6" t="n"/>
      <c r="F434" s="6" t="n"/>
      <c r="I434" s="5" t="n"/>
      <c r="J434" s="5" t="n"/>
    </row>
    <row r="435">
      <c r="E435" s="6" t="n"/>
      <c r="F435" s="6" t="n"/>
      <c r="I435" s="5" t="n"/>
      <c r="J435" s="5" t="n"/>
    </row>
    <row r="436">
      <c r="E436" s="6" t="n"/>
      <c r="F436" s="6" t="n"/>
      <c r="I436" s="5" t="n"/>
      <c r="J436" s="5" t="n"/>
    </row>
    <row r="437">
      <c r="E437" s="6" t="n"/>
      <c r="F437" s="6" t="n"/>
      <c r="I437" s="5" t="n"/>
      <c r="J437" s="5" t="n"/>
    </row>
    <row r="438">
      <c r="E438" s="6" t="n"/>
      <c r="F438" s="6" t="n"/>
      <c r="I438" s="5" t="n"/>
      <c r="J438" s="5" t="n"/>
    </row>
    <row r="439">
      <c r="E439" s="6" t="n"/>
      <c r="F439" s="6" t="n"/>
      <c r="I439" s="5" t="n"/>
      <c r="J439" s="5" t="n"/>
    </row>
    <row r="440">
      <c r="E440" s="6" t="n"/>
      <c r="F440" s="6" t="n"/>
      <c r="I440" s="5" t="n"/>
      <c r="J440" s="5" t="n"/>
    </row>
    <row r="441">
      <c r="E441" s="6" t="n"/>
      <c r="F441" s="6" t="n"/>
      <c r="I441" s="5" t="n"/>
      <c r="J441" s="5" t="n"/>
    </row>
    <row r="442">
      <c r="E442" s="6" t="n"/>
      <c r="F442" s="6" t="n"/>
      <c r="I442" s="5" t="n"/>
      <c r="J442" s="5" t="n"/>
    </row>
    <row r="443">
      <c r="E443" s="6" t="n"/>
      <c r="F443" s="6" t="n"/>
      <c r="I443" s="5" t="n"/>
      <c r="J443" s="5" t="n"/>
    </row>
    <row r="444">
      <c r="E444" s="6" t="n"/>
      <c r="F444" s="6" t="n"/>
      <c r="I444" s="5" t="n"/>
      <c r="J444" s="5" t="n"/>
    </row>
    <row r="445">
      <c r="E445" s="6" t="n"/>
      <c r="F445" s="6" t="n"/>
      <c r="I445" s="5" t="n"/>
      <c r="J445" s="5" t="n"/>
    </row>
    <row r="446">
      <c r="E446" s="6" t="n"/>
      <c r="F446" s="6" t="n"/>
      <c r="I446" s="5" t="n"/>
      <c r="J446" s="5" t="n"/>
    </row>
    <row r="447">
      <c r="E447" s="6" t="n"/>
      <c r="F447" s="6" t="n"/>
      <c r="I447" s="5" t="n"/>
      <c r="J447" s="5" t="n"/>
    </row>
    <row r="448">
      <c r="E448" s="6" t="n"/>
      <c r="F448" s="6" t="n"/>
      <c r="I448" s="5" t="n"/>
      <c r="J448" s="5" t="n"/>
    </row>
    <row r="449">
      <c r="E449" s="6" t="n"/>
      <c r="F449" s="6" t="n"/>
      <c r="I449" s="5" t="n"/>
      <c r="J449" s="5" t="n"/>
    </row>
    <row r="450">
      <c r="E450" s="6" t="n"/>
      <c r="F450" s="6" t="n"/>
      <c r="I450" s="5" t="n"/>
      <c r="J450" s="5" t="n"/>
    </row>
    <row r="451">
      <c r="E451" s="6" t="n"/>
      <c r="F451" s="6" t="n"/>
      <c r="I451" s="5" t="n"/>
      <c r="J451" s="5" t="n"/>
    </row>
    <row r="452">
      <c r="E452" s="6" t="n"/>
      <c r="F452" s="6" t="n"/>
      <c r="I452" s="5" t="n"/>
      <c r="J452" s="5" t="n"/>
    </row>
    <row r="453">
      <c r="E453" s="6" t="n"/>
      <c r="F453" s="6" t="n"/>
      <c r="I453" s="5" t="n"/>
      <c r="J453" s="5" t="n"/>
    </row>
    <row r="454">
      <c r="E454" s="6" t="n"/>
      <c r="F454" s="6" t="n"/>
      <c r="I454" s="5" t="n"/>
      <c r="J454" s="5" t="n"/>
    </row>
    <row r="455">
      <c r="E455" s="6" t="n"/>
      <c r="F455" s="6" t="n"/>
      <c r="I455" s="5" t="n"/>
      <c r="J455" s="5" t="n"/>
    </row>
    <row r="456">
      <c r="E456" s="6" t="n"/>
      <c r="F456" s="6" t="n"/>
      <c r="I456" s="5" t="n"/>
      <c r="J456" s="5" t="n"/>
    </row>
    <row r="457">
      <c r="E457" s="6" t="n"/>
      <c r="F457" s="6" t="n"/>
      <c r="I457" s="5" t="n"/>
      <c r="J457" s="5" t="n"/>
    </row>
    <row r="458">
      <c r="E458" s="6" t="n"/>
      <c r="F458" s="6" t="n"/>
      <c r="I458" s="5" t="n"/>
      <c r="J458" s="5" t="n"/>
    </row>
    <row r="459">
      <c r="E459" s="6" t="n"/>
      <c r="F459" s="6" t="n"/>
      <c r="I459" s="5" t="n"/>
      <c r="J459" s="5" t="n"/>
    </row>
    <row r="460">
      <c r="E460" s="6" t="n"/>
      <c r="F460" s="6" t="n"/>
      <c r="I460" s="5" t="n"/>
      <c r="J460" s="5" t="n"/>
    </row>
    <row r="461">
      <c r="E461" s="6" t="n"/>
      <c r="F461" s="6" t="n"/>
      <c r="I461" s="5" t="n"/>
      <c r="J461" s="5" t="n"/>
    </row>
    <row r="462">
      <c r="E462" s="6" t="n"/>
      <c r="F462" s="6" t="n"/>
      <c r="I462" s="5" t="n"/>
      <c r="J462" s="5" t="n"/>
    </row>
    <row r="463">
      <c r="E463" s="6" t="n"/>
      <c r="F463" s="6" t="n"/>
      <c r="I463" s="5" t="n"/>
      <c r="J463" s="5" t="n"/>
    </row>
    <row r="464">
      <c r="E464" s="6" t="n"/>
      <c r="F464" s="6" t="n"/>
      <c r="I464" s="5" t="n"/>
      <c r="J464" s="5" t="n"/>
    </row>
    <row r="465">
      <c r="E465" s="6" t="n"/>
      <c r="F465" s="6" t="n"/>
      <c r="I465" s="5" t="n"/>
      <c r="J465" s="5" t="n"/>
    </row>
    <row r="466">
      <c r="E466" s="6" t="n"/>
      <c r="F466" s="6" t="n"/>
      <c r="I466" s="5" t="n"/>
      <c r="J466" s="5" t="n"/>
    </row>
    <row r="467">
      <c r="E467" s="6" t="n"/>
      <c r="F467" s="6" t="n"/>
      <c r="I467" s="5" t="n"/>
      <c r="J467" s="5" t="n"/>
    </row>
    <row r="468">
      <c r="E468" s="6" t="n"/>
      <c r="F468" s="6" t="n"/>
      <c r="I468" s="5" t="n"/>
      <c r="J468" s="5" t="n"/>
    </row>
    <row r="469">
      <c r="E469" s="6" t="n"/>
      <c r="F469" s="6" t="n"/>
      <c r="I469" s="5" t="n"/>
      <c r="J469" s="5" t="n"/>
    </row>
    <row r="470">
      <c r="E470" s="6" t="n"/>
      <c r="F470" s="6" t="n"/>
      <c r="I470" s="5" t="n"/>
      <c r="J470" s="5" t="n"/>
    </row>
    <row r="471">
      <c r="E471" s="6" t="n"/>
      <c r="F471" s="6" t="n"/>
      <c r="I471" s="5" t="n"/>
      <c r="J471" s="5" t="n"/>
    </row>
    <row r="472">
      <c r="E472" s="6" t="n"/>
      <c r="F472" s="6" t="n"/>
      <c r="I472" s="5" t="n"/>
      <c r="J472" s="5" t="n"/>
    </row>
    <row r="473">
      <c r="E473" s="6" t="n"/>
      <c r="F473" s="6" t="n"/>
      <c r="I473" s="5" t="n"/>
      <c r="J473" s="5" t="n"/>
    </row>
    <row r="474">
      <c r="E474" s="6" t="n"/>
      <c r="F474" s="6" t="n"/>
      <c r="I474" s="5" t="n"/>
      <c r="J474" s="5" t="n"/>
    </row>
    <row r="475">
      <c r="E475" s="6" t="n"/>
      <c r="F475" s="6" t="n"/>
      <c r="I475" s="5" t="n"/>
      <c r="J475" s="5" t="n"/>
    </row>
    <row r="476">
      <c r="E476" s="6" t="n"/>
      <c r="F476" s="6" t="n"/>
      <c r="I476" s="5" t="n"/>
      <c r="J476" s="5" t="n"/>
    </row>
    <row r="477">
      <c r="E477" s="6" t="n"/>
      <c r="F477" s="6" t="n"/>
      <c r="I477" s="5" t="n"/>
      <c r="J477" s="5" t="n"/>
    </row>
    <row r="478">
      <c r="E478" s="6" t="n"/>
      <c r="F478" s="6" t="n"/>
      <c r="I478" s="5" t="n"/>
      <c r="J478" s="5" t="n"/>
    </row>
    <row r="479">
      <c r="E479" s="6" t="n"/>
      <c r="F479" s="6" t="n"/>
      <c r="I479" s="5" t="n"/>
      <c r="J479" s="5" t="n"/>
    </row>
    <row r="480">
      <c r="E480" s="6" t="n"/>
      <c r="F480" s="6" t="n"/>
      <c r="I480" s="5" t="n"/>
      <c r="J480" s="5" t="n"/>
    </row>
    <row r="481">
      <c r="E481" s="6" t="n"/>
      <c r="F481" s="6" t="n"/>
      <c r="I481" s="5" t="n"/>
      <c r="J481" s="5" t="n"/>
    </row>
    <row r="482">
      <c r="E482" s="6" t="n"/>
      <c r="F482" s="6" t="n"/>
      <c r="I482" s="5" t="n"/>
      <c r="J482" s="5" t="n"/>
    </row>
    <row r="483">
      <c r="E483" s="6" t="n"/>
      <c r="F483" s="6" t="n"/>
      <c r="I483" s="5" t="n"/>
      <c r="J483" s="5" t="n"/>
    </row>
    <row r="484">
      <c r="E484" s="6" t="n"/>
      <c r="F484" s="6" t="n"/>
      <c r="I484" s="5" t="n"/>
      <c r="J484" s="5" t="n"/>
    </row>
    <row r="485">
      <c r="E485" s="6" t="n"/>
      <c r="F485" s="6" t="n"/>
      <c r="I485" s="5" t="n"/>
      <c r="J485" s="5" t="n"/>
    </row>
    <row r="486">
      <c r="E486" s="6" t="n"/>
      <c r="F486" s="6" t="n"/>
      <c r="I486" s="5" t="n"/>
      <c r="J486" s="5" t="n"/>
    </row>
    <row r="487">
      <c r="E487" s="6" t="n"/>
      <c r="F487" s="6" t="n"/>
      <c r="I487" s="5" t="n"/>
      <c r="J487" s="5" t="n"/>
    </row>
    <row r="488">
      <c r="E488" s="6" t="n"/>
      <c r="F488" s="6" t="n"/>
      <c r="I488" s="5" t="n"/>
      <c r="J488" s="5" t="n"/>
    </row>
    <row r="489">
      <c r="E489" s="6" t="n"/>
      <c r="F489" s="6" t="n"/>
      <c r="I489" s="5" t="n"/>
      <c r="J489" s="5" t="n"/>
    </row>
    <row r="490">
      <c r="E490" s="6" t="n"/>
      <c r="F490" s="6" t="n"/>
      <c r="I490" s="5" t="n"/>
      <c r="J490" s="5" t="n"/>
    </row>
    <row r="491">
      <c r="E491" s="6" t="n"/>
      <c r="F491" s="6" t="n"/>
      <c r="I491" s="5" t="n"/>
      <c r="J491" s="5" t="n"/>
    </row>
    <row r="492">
      <c r="E492" s="6" t="n"/>
      <c r="F492" s="6" t="n"/>
      <c r="I492" s="5" t="n"/>
      <c r="J492" s="5" t="n"/>
    </row>
    <row r="493">
      <c r="E493" s="6" t="n"/>
      <c r="F493" s="6" t="n"/>
      <c r="I493" s="5" t="n"/>
      <c r="J493" s="5" t="n"/>
    </row>
    <row r="494">
      <c r="E494" s="6" t="n"/>
      <c r="F494" s="6" t="n"/>
      <c r="I494" s="5" t="n"/>
      <c r="J494" s="5" t="n"/>
    </row>
    <row r="495">
      <c r="E495" s="6" t="n"/>
      <c r="F495" s="6" t="n"/>
      <c r="I495" s="5" t="n"/>
      <c r="J495" s="5" t="n"/>
    </row>
    <row r="496">
      <c r="E496" s="6" t="n"/>
      <c r="F496" s="6" t="n"/>
      <c r="I496" s="5" t="n"/>
      <c r="J496" s="5" t="n"/>
    </row>
    <row r="497">
      <c r="E497" s="6" t="n"/>
      <c r="F497" s="6" t="n"/>
      <c r="I497" s="5" t="n"/>
      <c r="J497" s="5" t="n"/>
    </row>
    <row r="498">
      <c r="E498" s="6" t="n"/>
      <c r="F498" s="6" t="n"/>
      <c r="I498" s="5" t="n"/>
      <c r="J498" s="5" t="n"/>
    </row>
    <row r="499">
      <c r="E499" s="6" t="n"/>
      <c r="F499" s="6" t="n"/>
      <c r="I499" s="5" t="n"/>
      <c r="J499" s="5" t="n"/>
    </row>
    <row r="500">
      <c r="E500" s="6" t="n"/>
      <c r="F500" s="6" t="n"/>
      <c r="I500" s="5" t="n"/>
      <c r="J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0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4" customWidth="1" min="7" max="7"/>
    <col width="23" customWidth="1" min="8" max="8"/>
    <col width="17" customWidth="1" min="9" max="9"/>
    <col width="10" customWidth="1" min="10" max="10"/>
  </cols>
  <sheetData>
    <row r="1" ht="22" customHeight="1">
      <c r="A1" s="4" t="inlineStr">
        <is>
          <t>TaxRecordID</t>
        </is>
      </c>
      <c r="B1" s="4" t="inlineStr">
        <is>
          <t>ClientID</t>
        </is>
      </c>
      <c r="C1" s="4" t="inlineStr">
        <is>
          <t>Country</t>
        </is>
      </c>
      <c r="D1" s="4" t="inlineStr">
        <is>
          <t>TaxResidencyStatus</t>
        </is>
      </c>
      <c r="E1" s="4" t="inlineStr">
        <is>
          <t>DateFrom</t>
        </is>
      </c>
      <c r="F1" s="4" t="inlineStr">
        <is>
          <t>DateTo</t>
        </is>
      </c>
      <c r="G1" s="4" t="inlineStr">
        <is>
          <t>RelevantRulesDiscussed</t>
        </is>
      </c>
      <c r="H1" s="4" t="inlineStr">
        <is>
          <t>PlanningOpportunities</t>
        </is>
      </c>
      <c r="I1" s="4" t="inlineStr">
        <is>
          <t>RisksOrRedFlags</t>
        </is>
      </c>
      <c r="J1" s="4" t="inlineStr">
        <is>
          <t>Notes</t>
        </is>
      </c>
    </row>
    <row r="2">
      <c r="E2" s="5" t="n"/>
      <c r="F2" s="5" t="n"/>
    </row>
    <row r="3">
      <c r="E3" s="5" t="n"/>
      <c r="F3" s="5" t="n"/>
    </row>
    <row r="4">
      <c r="E4" s="5" t="n"/>
      <c r="F4" s="5" t="n"/>
    </row>
    <row r="5">
      <c r="E5" s="5" t="n"/>
      <c r="F5" s="5" t="n"/>
    </row>
    <row r="6">
      <c r="E6" s="5" t="n"/>
      <c r="F6" s="5" t="n"/>
    </row>
    <row r="7">
      <c r="E7" s="5" t="n"/>
      <c r="F7" s="5" t="n"/>
    </row>
    <row r="8">
      <c r="E8" s="5" t="n"/>
      <c r="F8" s="5" t="n"/>
    </row>
    <row r="9">
      <c r="E9" s="5" t="n"/>
      <c r="F9" s="5" t="n"/>
    </row>
    <row r="10">
      <c r="E10" s="5" t="n"/>
      <c r="F10" s="5" t="n"/>
    </row>
    <row r="11">
      <c r="E11" s="5" t="n"/>
      <c r="F11" s="5" t="n"/>
    </row>
    <row r="12">
      <c r="E12" s="5" t="n"/>
      <c r="F12" s="5" t="n"/>
    </row>
    <row r="13">
      <c r="E13" s="5" t="n"/>
      <c r="F13" s="5" t="n"/>
    </row>
    <row r="14">
      <c r="E14" s="5" t="n"/>
      <c r="F14" s="5" t="n"/>
    </row>
    <row r="15">
      <c r="E15" s="5" t="n"/>
      <c r="F15" s="5" t="n"/>
    </row>
    <row r="16">
      <c r="E16" s="5" t="n"/>
      <c r="F16" s="5" t="n"/>
    </row>
    <row r="17">
      <c r="E17" s="5" t="n"/>
      <c r="F17" s="5" t="n"/>
    </row>
    <row r="18">
      <c r="E18" s="5" t="n"/>
      <c r="F18" s="5" t="n"/>
    </row>
    <row r="19">
      <c r="E19" s="5" t="n"/>
      <c r="F19" s="5" t="n"/>
    </row>
    <row r="20">
      <c r="E20" s="5" t="n"/>
      <c r="F20" s="5" t="n"/>
    </row>
    <row r="21">
      <c r="E21" s="5" t="n"/>
      <c r="F21" s="5" t="n"/>
    </row>
    <row r="22">
      <c r="E22" s="5" t="n"/>
      <c r="F22" s="5" t="n"/>
    </row>
    <row r="23">
      <c r="E23" s="5" t="n"/>
      <c r="F23" s="5" t="n"/>
    </row>
    <row r="24">
      <c r="E24" s="5" t="n"/>
      <c r="F24" s="5" t="n"/>
    </row>
    <row r="25">
      <c r="E25" s="5" t="n"/>
      <c r="F25" s="5" t="n"/>
    </row>
    <row r="26">
      <c r="E26" s="5" t="n"/>
      <c r="F26" s="5" t="n"/>
    </row>
    <row r="27">
      <c r="E27" s="5" t="n"/>
      <c r="F27" s="5" t="n"/>
    </row>
    <row r="28">
      <c r="E28" s="5" t="n"/>
      <c r="F28" s="5" t="n"/>
    </row>
    <row r="29">
      <c r="E29" s="5" t="n"/>
      <c r="F29" s="5" t="n"/>
    </row>
    <row r="30">
      <c r="E30" s="5" t="n"/>
      <c r="F30" s="5" t="n"/>
    </row>
    <row r="31">
      <c r="E31" s="5" t="n"/>
      <c r="F31" s="5" t="n"/>
    </row>
    <row r="32">
      <c r="E32" s="5" t="n"/>
      <c r="F32" s="5" t="n"/>
    </row>
    <row r="33">
      <c r="E33" s="5" t="n"/>
      <c r="F33" s="5" t="n"/>
    </row>
    <row r="34">
      <c r="E34" s="5" t="n"/>
      <c r="F34" s="5" t="n"/>
    </row>
    <row r="35">
      <c r="E35" s="5" t="n"/>
      <c r="F35" s="5" t="n"/>
    </row>
    <row r="36">
      <c r="E36" s="5" t="n"/>
      <c r="F36" s="5" t="n"/>
    </row>
    <row r="37">
      <c r="E37" s="5" t="n"/>
      <c r="F37" s="5" t="n"/>
    </row>
    <row r="38">
      <c r="E38" s="5" t="n"/>
      <c r="F38" s="5" t="n"/>
    </row>
    <row r="39">
      <c r="E39" s="5" t="n"/>
      <c r="F39" s="5" t="n"/>
    </row>
    <row r="40">
      <c r="E40" s="5" t="n"/>
      <c r="F40" s="5" t="n"/>
    </row>
    <row r="41">
      <c r="E41" s="5" t="n"/>
      <c r="F41" s="5" t="n"/>
    </row>
    <row r="42">
      <c r="E42" s="5" t="n"/>
      <c r="F42" s="5" t="n"/>
    </row>
    <row r="43">
      <c r="E43" s="5" t="n"/>
      <c r="F43" s="5" t="n"/>
    </row>
    <row r="44">
      <c r="E44" s="5" t="n"/>
      <c r="F44" s="5" t="n"/>
    </row>
    <row r="45">
      <c r="E45" s="5" t="n"/>
      <c r="F45" s="5" t="n"/>
    </row>
    <row r="46">
      <c r="E46" s="5" t="n"/>
      <c r="F46" s="5" t="n"/>
    </row>
    <row r="47">
      <c r="E47" s="5" t="n"/>
      <c r="F47" s="5" t="n"/>
    </row>
    <row r="48">
      <c r="E48" s="5" t="n"/>
      <c r="F48" s="5" t="n"/>
    </row>
    <row r="49">
      <c r="E49" s="5" t="n"/>
      <c r="F49" s="5" t="n"/>
    </row>
    <row r="50">
      <c r="E50" s="5" t="n"/>
      <c r="F50" s="5" t="n"/>
    </row>
    <row r="51">
      <c r="E51" s="5" t="n"/>
      <c r="F51" s="5" t="n"/>
    </row>
    <row r="52">
      <c r="E52" s="5" t="n"/>
      <c r="F52" s="5" t="n"/>
    </row>
    <row r="53">
      <c r="E53" s="5" t="n"/>
      <c r="F53" s="5" t="n"/>
    </row>
    <row r="54">
      <c r="E54" s="5" t="n"/>
      <c r="F54" s="5" t="n"/>
    </row>
    <row r="55">
      <c r="E55" s="5" t="n"/>
      <c r="F55" s="5" t="n"/>
    </row>
    <row r="56">
      <c r="E56" s="5" t="n"/>
      <c r="F56" s="5" t="n"/>
    </row>
    <row r="57">
      <c r="E57" s="5" t="n"/>
      <c r="F57" s="5" t="n"/>
    </row>
    <row r="58">
      <c r="E58" s="5" t="n"/>
      <c r="F58" s="5" t="n"/>
    </row>
    <row r="59">
      <c r="E59" s="5" t="n"/>
      <c r="F59" s="5" t="n"/>
    </row>
    <row r="60">
      <c r="E60" s="5" t="n"/>
      <c r="F60" s="5" t="n"/>
    </row>
    <row r="61">
      <c r="E61" s="5" t="n"/>
      <c r="F61" s="5" t="n"/>
    </row>
    <row r="62">
      <c r="E62" s="5" t="n"/>
      <c r="F62" s="5" t="n"/>
    </row>
    <row r="63">
      <c r="E63" s="5" t="n"/>
      <c r="F63" s="5" t="n"/>
    </row>
    <row r="64">
      <c r="E64" s="5" t="n"/>
      <c r="F64" s="5" t="n"/>
    </row>
    <row r="65">
      <c r="E65" s="5" t="n"/>
      <c r="F65" s="5" t="n"/>
    </row>
    <row r="66">
      <c r="E66" s="5" t="n"/>
      <c r="F66" s="5" t="n"/>
    </row>
    <row r="67">
      <c r="E67" s="5" t="n"/>
      <c r="F67" s="5" t="n"/>
    </row>
    <row r="68">
      <c r="E68" s="5" t="n"/>
      <c r="F68" s="5" t="n"/>
    </row>
    <row r="69">
      <c r="E69" s="5" t="n"/>
      <c r="F69" s="5" t="n"/>
    </row>
    <row r="70">
      <c r="E70" s="5" t="n"/>
      <c r="F70" s="5" t="n"/>
    </row>
    <row r="71">
      <c r="E71" s="5" t="n"/>
      <c r="F71" s="5" t="n"/>
    </row>
    <row r="72">
      <c r="E72" s="5" t="n"/>
      <c r="F72" s="5" t="n"/>
    </row>
    <row r="73">
      <c r="E73" s="5" t="n"/>
      <c r="F73" s="5" t="n"/>
    </row>
    <row r="74">
      <c r="E74" s="5" t="n"/>
      <c r="F74" s="5" t="n"/>
    </row>
    <row r="75">
      <c r="E75" s="5" t="n"/>
      <c r="F75" s="5" t="n"/>
    </row>
    <row r="76">
      <c r="E76" s="5" t="n"/>
      <c r="F76" s="5" t="n"/>
    </row>
    <row r="77">
      <c r="E77" s="5" t="n"/>
      <c r="F77" s="5" t="n"/>
    </row>
    <row r="78">
      <c r="E78" s="5" t="n"/>
      <c r="F78" s="5" t="n"/>
    </row>
    <row r="79">
      <c r="E79" s="5" t="n"/>
      <c r="F79" s="5" t="n"/>
    </row>
    <row r="80">
      <c r="E80" s="5" t="n"/>
      <c r="F80" s="5" t="n"/>
    </row>
    <row r="81">
      <c r="E81" s="5" t="n"/>
      <c r="F81" s="5" t="n"/>
    </row>
    <row r="82">
      <c r="E82" s="5" t="n"/>
      <c r="F82" s="5" t="n"/>
    </row>
    <row r="83">
      <c r="E83" s="5" t="n"/>
      <c r="F83" s="5" t="n"/>
    </row>
    <row r="84">
      <c r="E84" s="5" t="n"/>
      <c r="F84" s="5" t="n"/>
    </row>
    <row r="85">
      <c r="E85" s="5" t="n"/>
      <c r="F85" s="5" t="n"/>
    </row>
    <row r="86">
      <c r="E86" s="5" t="n"/>
      <c r="F86" s="5" t="n"/>
    </row>
    <row r="87">
      <c r="E87" s="5" t="n"/>
      <c r="F87" s="5" t="n"/>
    </row>
    <row r="88">
      <c r="E88" s="5" t="n"/>
      <c r="F88" s="5" t="n"/>
    </row>
    <row r="89">
      <c r="E89" s="5" t="n"/>
      <c r="F89" s="5" t="n"/>
    </row>
    <row r="90">
      <c r="E90" s="5" t="n"/>
      <c r="F90" s="5" t="n"/>
    </row>
    <row r="91">
      <c r="E91" s="5" t="n"/>
      <c r="F91" s="5" t="n"/>
    </row>
    <row r="92">
      <c r="E92" s="5" t="n"/>
      <c r="F92" s="5" t="n"/>
    </row>
    <row r="93">
      <c r="E93" s="5" t="n"/>
      <c r="F93" s="5" t="n"/>
    </row>
    <row r="94">
      <c r="E94" s="5" t="n"/>
      <c r="F94" s="5" t="n"/>
    </row>
    <row r="95">
      <c r="E95" s="5" t="n"/>
      <c r="F95" s="5" t="n"/>
    </row>
    <row r="96">
      <c r="E96" s="5" t="n"/>
      <c r="F96" s="5" t="n"/>
    </row>
    <row r="97">
      <c r="E97" s="5" t="n"/>
      <c r="F97" s="5" t="n"/>
    </row>
    <row r="98">
      <c r="E98" s="5" t="n"/>
      <c r="F98" s="5" t="n"/>
    </row>
    <row r="99">
      <c r="E99" s="5" t="n"/>
      <c r="F99" s="5" t="n"/>
    </row>
    <row r="100">
      <c r="E100" s="5" t="n"/>
      <c r="F100" s="5" t="n"/>
    </row>
    <row r="101">
      <c r="E101" s="5" t="n"/>
      <c r="F101" s="5" t="n"/>
    </row>
    <row r="102">
      <c r="E102" s="5" t="n"/>
      <c r="F102" s="5" t="n"/>
    </row>
    <row r="103">
      <c r="E103" s="5" t="n"/>
      <c r="F103" s="5" t="n"/>
    </row>
    <row r="104">
      <c r="E104" s="5" t="n"/>
      <c r="F104" s="5" t="n"/>
    </row>
    <row r="105">
      <c r="E105" s="5" t="n"/>
      <c r="F105" s="5" t="n"/>
    </row>
    <row r="106">
      <c r="E106" s="5" t="n"/>
      <c r="F106" s="5" t="n"/>
    </row>
    <row r="107">
      <c r="E107" s="5" t="n"/>
      <c r="F107" s="5" t="n"/>
    </row>
    <row r="108">
      <c r="E108" s="5" t="n"/>
      <c r="F108" s="5" t="n"/>
    </row>
    <row r="109">
      <c r="E109" s="5" t="n"/>
      <c r="F109" s="5" t="n"/>
    </row>
    <row r="110">
      <c r="E110" s="5" t="n"/>
      <c r="F110" s="5" t="n"/>
    </row>
    <row r="111">
      <c r="E111" s="5" t="n"/>
      <c r="F111" s="5" t="n"/>
    </row>
    <row r="112">
      <c r="E112" s="5" t="n"/>
      <c r="F112" s="5" t="n"/>
    </row>
    <row r="113">
      <c r="E113" s="5" t="n"/>
      <c r="F113" s="5" t="n"/>
    </row>
    <row r="114">
      <c r="E114" s="5" t="n"/>
      <c r="F114" s="5" t="n"/>
    </row>
    <row r="115">
      <c r="E115" s="5" t="n"/>
      <c r="F115" s="5" t="n"/>
    </row>
    <row r="116">
      <c r="E116" s="5" t="n"/>
      <c r="F116" s="5" t="n"/>
    </row>
    <row r="117">
      <c r="E117" s="5" t="n"/>
      <c r="F117" s="5" t="n"/>
    </row>
    <row r="118">
      <c r="E118" s="5" t="n"/>
      <c r="F118" s="5" t="n"/>
    </row>
    <row r="119">
      <c r="E119" s="5" t="n"/>
      <c r="F119" s="5" t="n"/>
    </row>
    <row r="120">
      <c r="E120" s="5" t="n"/>
      <c r="F120" s="5" t="n"/>
    </row>
    <row r="121">
      <c r="E121" s="5" t="n"/>
      <c r="F121" s="5" t="n"/>
    </row>
    <row r="122">
      <c r="E122" s="5" t="n"/>
      <c r="F122" s="5" t="n"/>
    </row>
    <row r="123">
      <c r="E123" s="5" t="n"/>
      <c r="F123" s="5" t="n"/>
    </row>
    <row r="124">
      <c r="E124" s="5" t="n"/>
      <c r="F124" s="5" t="n"/>
    </row>
    <row r="125">
      <c r="E125" s="5" t="n"/>
      <c r="F125" s="5" t="n"/>
    </row>
    <row r="126">
      <c r="E126" s="5" t="n"/>
      <c r="F126" s="5" t="n"/>
    </row>
    <row r="127">
      <c r="E127" s="5" t="n"/>
      <c r="F127" s="5" t="n"/>
    </row>
    <row r="128">
      <c r="E128" s="5" t="n"/>
      <c r="F128" s="5" t="n"/>
    </row>
    <row r="129">
      <c r="E129" s="5" t="n"/>
      <c r="F129" s="5" t="n"/>
    </row>
    <row r="130">
      <c r="E130" s="5" t="n"/>
      <c r="F130" s="5" t="n"/>
    </row>
    <row r="131">
      <c r="E131" s="5" t="n"/>
      <c r="F131" s="5" t="n"/>
    </row>
    <row r="132">
      <c r="E132" s="5" t="n"/>
      <c r="F132" s="5" t="n"/>
    </row>
    <row r="133">
      <c r="E133" s="5" t="n"/>
      <c r="F133" s="5" t="n"/>
    </row>
    <row r="134">
      <c r="E134" s="5" t="n"/>
      <c r="F134" s="5" t="n"/>
    </row>
    <row r="135">
      <c r="E135" s="5" t="n"/>
      <c r="F135" s="5" t="n"/>
    </row>
    <row r="136">
      <c r="E136" s="5" t="n"/>
      <c r="F136" s="5" t="n"/>
    </row>
    <row r="137">
      <c r="E137" s="5" t="n"/>
      <c r="F137" s="5" t="n"/>
    </row>
    <row r="138">
      <c r="E138" s="5" t="n"/>
      <c r="F138" s="5" t="n"/>
    </row>
    <row r="139">
      <c r="E139" s="5" t="n"/>
      <c r="F139" s="5" t="n"/>
    </row>
    <row r="140">
      <c r="E140" s="5" t="n"/>
      <c r="F140" s="5" t="n"/>
    </row>
    <row r="141">
      <c r="E141" s="5" t="n"/>
      <c r="F141" s="5" t="n"/>
    </row>
    <row r="142">
      <c r="E142" s="5" t="n"/>
      <c r="F142" s="5" t="n"/>
    </row>
    <row r="143">
      <c r="E143" s="5" t="n"/>
      <c r="F143" s="5" t="n"/>
    </row>
    <row r="144">
      <c r="E144" s="5" t="n"/>
      <c r="F144" s="5" t="n"/>
    </row>
    <row r="145">
      <c r="E145" s="5" t="n"/>
      <c r="F145" s="5" t="n"/>
    </row>
    <row r="146">
      <c r="E146" s="5" t="n"/>
      <c r="F146" s="5" t="n"/>
    </row>
    <row r="147">
      <c r="E147" s="5" t="n"/>
      <c r="F147" s="5" t="n"/>
    </row>
    <row r="148">
      <c r="E148" s="5" t="n"/>
      <c r="F148" s="5" t="n"/>
    </row>
    <row r="149">
      <c r="E149" s="5" t="n"/>
      <c r="F149" s="5" t="n"/>
    </row>
    <row r="150">
      <c r="E150" s="5" t="n"/>
      <c r="F150" s="5" t="n"/>
    </row>
    <row r="151">
      <c r="E151" s="5" t="n"/>
      <c r="F151" s="5" t="n"/>
    </row>
    <row r="152">
      <c r="E152" s="5" t="n"/>
      <c r="F152" s="5" t="n"/>
    </row>
    <row r="153">
      <c r="E153" s="5" t="n"/>
      <c r="F153" s="5" t="n"/>
    </row>
    <row r="154">
      <c r="E154" s="5" t="n"/>
      <c r="F154" s="5" t="n"/>
    </row>
    <row r="155">
      <c r="E155" s="5" t="n"/>
      <c r="F155" s="5" t="n"/>
    </row>
    <row r="156">
      <c r="E156" s="5" t="n"/>
      <c r="F156" s="5" t="n"/>
    </row>
    <row r="157">
      <c r="E157" s="5" t="n"/>
      <c r="F157" s="5" t="n"/>
    </row>
    <row r="158">
      <c r="E158" s="5" t="n"/>
      <c r="F158" s="5" t="n"/>
    </row>
    <row r="159">
      <c r="E159" s="5" t="n"/>
      <c r="F159" s="5" t="n"/>
    </row>
    <row r="160">
      <c r="E160" s="5" t="n"/>
      <c r="F160" s="5" t="n"/>
    </row>
    <row r="161">
      <c r="E161" s="5" t="n"/>
      <c r="F161" s="5" t="n"/>
    </row>
    <row r="162">
      <c r="E162" s="5" t="n"/>
      <c r="F162" s="5" t="n"/>
    </row>
    <row r="163">
      <c r="E163" s="5" t="n"/>
      <c r="F163" s="5" t="n"/>
    </row>
    <row r="164">
      <c r="E164" s="5" t="n"/>
      <c r="F164" s="5" t="n"/>
    </row>
    <row r="165">
      <c r="E165" s="5" t="n"/>
      <c r="F165" s="5" t="n"/>
    </row>
    <row r="166">
      <c r="E166" s="5" t="n"/>
      <c r="F166" s="5" t="n"/>
    </row>
    <row r="167">
      <c r="E167" s="5" t="n"/>
      <c r="F167" s="5" t="n"/>
    </row>
    <row r="168">
      <c r="E168" s="5" t="n"/>
      <c r="F168" s="5" t="n"/>
    </row>
    <row r="169">
      <c r="E169" s="5" t="n"/>
      <c r="F169" s="5" t="n"/>
    </row>
    <row r="170">
      <c r="E170" s="5" t="n"/>
      <c r="F170" s="5" t="n"/>
    </row>
    <row r="171">
      <c r="E171" s="5" t="n"/>
      <c r="F171" s="5" t="n"/>
    </row>
    <row r="172">
      <c r="E172" s="5" t="n"/>
      <c r="F172" s="5" t="n"/>
    </row>
    <row r="173">
      <c r="E173" s="5" t="n"/>
      <c r="F173" s="5" t="n"/>
    </row>
    <row r="174">
      <c r="E174" s="5" t="n"/>
      <c r="F174" s="5" t="n"/>
    </row>
    <row r="175">
      <c r="E175" s="5" t="n"/>
      <c r="F175" s="5" t="n"/>
    </row>
    <row r="176">
      <c r="E176" s="5" t="n"/>
      <c r="F176" s="5" t="n"/>
    </row>
    <row r="177">
      <c r="E177" s="5" t="n"/>
      <c r="F177" s="5" t="n"/>
    </row>
    <row r="178">
      <c r="E178" s="5" t="n"/>
      <c r="F178" s="5" t="n"/>
    </row>
    <row r="179">
      <c r="E179" s="5" t="n"/>
      <c r="F179" s="5" t="n"/>
    </row>
    <row r="180">
      <c r="E180" s="5" t="n"/>
      <c r="F180" s="5" t="n"/>
    </row>
    <row r="181">
      <c r="E181" s="5" t="n"/>
      <c r="F181" s="5" t="n"/>
    </row>
    <row r="182">
      <c r="E182" s="5" t="n"/>
      <c r="F182" s="5" t="n"/>
    </row>
    <row r="183">
      <c r="E183" s="5" t="n"/>
      <c r="F183" s="5" t="n"/>
    </row>
    <row r="184">
      <c r="E184" s="5" t="n"/>
      <c r="F184" s="5" t="n"/>
    </row>
    <row r="185">
      <c r="E185" s="5" t="n"/>
      <c r="F185" s="5" t="n"/>
    </row>
    <row r="186">
      <c r="E186" s="5" t="n"/>
      <c r="F186" s="5" t="n"/>
    </row>
    <row r="187">
      <c r="E187" s="5" t="n"/>
      <c r="F187" s="5" t="n"/>
    </row>
    <row r="188">
      <c r="E188" s="5" t="n"/>
      <c r="F188" s="5" t="n"/>
    </row>
    <row r="189">
      <c r="E189" s="5" t="n"/>
      <c r="F189" s="5" t="n"/>
    </row>
    <row r="190">
      <c r="E190" s="5" t="n"/>
      <c r="F190" s="5" t="n"/>
    </row>
    <row r="191">
      <c r="E191" s="5" t="n"/>
      <c r="F191" s="5" t="n"/>
    </row>
    <row r="192">
      <c r="E192" s="5" t="n"/>
      <c r="F192" s="5" t="n"/>
    </row>
    <row r="193">
      <c r="E193" s="5" t="n"/>
      <c r="F193" s="5" t="n"/>
    </row>
    <row r="194">
      <c r="E194" s="5" t="n"/>
      <c r="F194" s="5" t="n"/>
    </row>
    <row r="195">
      <c r="E195" s="5" t="n"/>
      <c r="F195" s="5" t="n"/>
    </row>
    <row r="196">
      <c r="E196" s="5" t="n"/>
      <c r="F196" s="5" t="n"/>
    </row>
    <row r="197">
      <c r="E197" s="5" t="n"/>
      <c r="F197" s="5" t="n"/>
    </row>
    <row r="198">
      <c r="E198" s="5" t="n"/>
      <c r="F198" s="5" t="n"/>
    </row>
    <row r="199">
      <c r="E199" s="5" t="n"/>
      <c r="F199" s="5" t="n"/>
    </row>
    <row r="200">
      <c r="E200" s="5" t="n"/>
      <c r="F200" s="5" t="n"/>
    </row>
    <row r="201">
      <c r="E201" s="5" t="n"/>
      <c r="F201" s="5" t="n"/>
    </row>
    <row r="202">
      <c r="E202" s="5" t="n"/>
      <c r="F202" s="5" t="n"/>
    </row>
    <row r="203">
      <c r="E203" s="5" t="n"/>
      <c r="F203" s="5" t="n"/>
    </row>
    <row r="204">
      <c r="E204" s="5" t="n"/>
      <c r="F204" s="5" t="n"/>
    </row>
    <row r="205">
      <c r="E205" s="5" t="n"/>
      <c r="F205" s="5" t="n"/>
    </row>
    <row r="206">
      <c r="E206" s="5" t="n"/>
      <c r="F206" s="5" t="n"/>
    </row>
    <row r="207">
      <c r="E207" s="5" t="n"/>
      <c r="F207" s="5" t="n"/>
    </row>
    <row r="208">
      <c r="E208" s="5" t="n"/>
      <c r="F208" s="5" t="n"/>
    </row>
    <row r="209">
      <c r="E209" s="5" t="n"/>
      <c r="F209" s="5" t="n"/>
    </row>
    <row r="210">
      <c r="E210" s="5" t="n"/>
      <c r="F210" s="5" t="n"/>
    </row>
    <row r="211">
      <c r="E211" s="5" t="n"/>
      <c r="F211" s="5" t="n"/>
    </row>
    <row r="212">
      <c r="E212" s="5" t="n"/>
      <c r="F212" s="5" t="n"/>
    </row>
    <row r="213">
      <c r="E213" s="5" t="n"/>
      <c r="F213" s="5" t="n"/>
    </row>
    <row r="214">
      <c r="E214" s="5" t="n"/>
      <c r="F214" s="5" t="n"/>
    </row>
    <row r="215">
      <c r="E215" s="5" t="n"/>
      <c r="F215" s="5" t="n"/>
    </row>
    <row r="216">
      <c r="E216" s="5" t="n"/>
      <c r="F216" s="5" t="n"/>
    </row>
    <row r="217">
      <c r="E217" s="5" t="n"/>
      <c r="F217" s="5" t="n"/>
    </row>
    <row r="218">
      <c r="E218" s="5" t="n"/>
      <c r="F218" s="5" t="n"/>
    </row>
    <row r="219">
      <c r="E219" s="5" t="n"/>
      <c r="F219" s="5" t="n"/>
    </row>
    <row r="220">
      <c r="E220" s="5" t="n"/>
      <c r="F220" s="5" t="n"/>
    </row>
    <row r="221">
      <c r="E221" s="5" t="n"/>
      <c r="F221" s="5" t="n"/>
    </row>
    <row r="222">
      <c r="E222" s="5" t="n"/>
      <c r="F222" s="5" t="n"/>
    </row>
    <row r="223">
      <c r="E223" s="5" t="n"/>
      <c r="F223" s="5" t="n"/>
    </row>
    <row r="224">
      <c r="E224" s="5" t="n"/>
      <c r="F224" s="5" t="n"/>
    </row>
    <row r="225">
      <c r="E225" s="5" t="n"/>
      <c r="F225" s="5" t="n"/>
    </row>
    <row r="226">
      <c r="E226" s="5" t="n"/>
      <c r="F226" s="5" t="n"/>
    </row>
    <row r="227">
      <c r="E227" s="5" t="n"/>
      <c r="F227" s="5" t="n"/>
    </row>
    <row r="228">
      <c r="E228" s="5" t="n"/>
      <c r="F228" s="5" t="n"/>
    </row>
    <row r="229">
      <c r="E229" s="5" t="n"/>
      <c r="F229" s="5" t="n"/>
    </row>
    <row r="230">
      <c r="E230" s="5" t="n"/>
      <c r="F230" s="5" t="n"/>
    </row>
    <row r="231">
      <c r="E231" s="5" t="n"/>
      <c r="F231" s="5" t="n"/>
    </row>
    <row r="232">
      <c r="E232" s="5" t="n"/>
      <c r="F232" s="5" t="n"/>
    </row>
    <row r="233">
      <c r="E233" s="5" t="n"/>
      <c r="F233" s="5" t="n"/>
    </row>
    <row r="234">
      <c r="E234" s="5" t="n"/>
      <c r="F234" s="5" t="n"/>
    </row>
    <row r="235">
      <c r="E235" s="5" t="n"/>
      <c r="F235" s="5" t="n"/>
    </row>
    <row r="236">
      <c r="E236" s="5" t="n"/>
      <c r="F236" s="5" t="n"/>
    </row>
    <row r="237">
      <c r="E237" s="5" t="n"/>
      <c r="F237" s="5" t="n"/>
    </row>
    <row r="238">
      <c r="E238" s="5" t="n"/>
      <c r="F238" s="5" t="n"/>
    </row>
    <row r="239">
      <c r="E239" s="5" t="n"/>
      <c r="F239" s="5" t="n"/>
    </row>
    <row r="240">
      <c r="E240" s="5" t="n"/>
      <c r="F240" s="5" t="n"/>
    </row>
    <row r="241">
      <c r="E241" s="5" t="n"/>
      <c r="F241" s="5" t="n"/>
    </row>
    <row r="242">
      <c r="E242" s="5" t="n"/>
      <c r="F242" s="5" t="n"/>
    </row>
    <row r="243">
      <c r="E243" s="5" t="n"/>
      <c r="F243" s="5" t="n"/>
    </row>
    <row r="244">
      <c r="E244" s="5" t="n"/>
      <c r="F244" s="5" t="n"/>
    </row>
    <row r="245">
      <c r="E245" s="5" t="n"/>
      <c r="F245" s="5" t="n"/>
    </row>
    <row r="246">
      <c r="E246" s="5" t="n"/>
      <c r="F246" s="5" t="n"/>
    </row>
    <row r="247">
      <c r="E247" s="5" t="n"/>
      <c r="F247" s="5" t="n"/>
    </row>
    <row r="248">
      <c r="E248" s="5" t="n"/>
      <c r="F248" s="5" t="n"/>
    </row>
    <row r="249">
      <c r="E249" s="5" t="n"/>
      <c r="F249" s="5" t="n"/>
    </row>
    <row r="250">
      <c r="E250" s="5" t="n"/>
      <c r="F250" s="5" t="n"/>
    </row>
    <row r="251">
      <c r="E251" s="5" t="n"/>
      <c r="F251" s="5" t="n"/>
    </row>
    <row r="252">
      <c r="E252" s="5" t="n"/>
      <c r="F252" s="5" t="n"/>
    </row>
    <row r="253">
      <c r="E253" s="5" t="n"/>
      <c r="F253" s="5" t="n"/>
    </row>
    <row r="254">
      <c r="E254" s="5" t="n"/>
      <c r="F254" s="5" t="n"/>
    </row>
    <row r="255">
      <c r="E255" s="5" t="n"/>
      <c r="F255" s="5" t="n"/>
    </row>
    <row r="256">
      <c r="E256" s="5" t="n"/>
      <c r="F256" s="5" t="n"/>
    </row>
    <row r="257">
      <c r="E257" s="5" t="n"/>
      <c r="F257" s="5" t="n"/>
    </row>
    <row r="258">
      <c r="E258" s="5" t="n"/>
      <c r="F258" s="5" t="n"/>
    </row>
    <row r="259">
      <c r="E259" s="5" t="n"/>
      <c r="F259" s="5" t="n"/>
    </row>
    <row r="260">
      <c r="E260" s="5" t="n"/>
      <c r="F260" s="5" t="n"/>
    </row>
    <row r="261">
      <c r="E261" s="5" t="n"/>
      <c r="F261" s="5" t="n"/>
    </row>
    <row r="262">
      <c r="E262" s="5" t="n"/>
      <c r="F262" s="5" t="n"/>
    </row>
    <row r="263">
      <c r="E263" s="5" t="n"/>
      <c r="F263" s="5" t="n"/>
    </row>
    <row r="264">
      <c r="E264" s="5" t="n"/>
      <c r="F264" s="5" t="n"/>
    </row>
    <row r="265">
      <c r="E265" s="5" t="n"/>
      <c r="F265" s="5" t="n"/>
    </row>
    <row r="266">
      <c r="E266" s="5" t="n"/>
      <c r="F266" s="5" t="n"/>
    </row>
    <row r="267">
      <c r="E267" s="5" t="n"/>
      <c r="F267" s="5" t="n"/>
    </row>
    <row r="268">
      <c r="E268" s="5" t="n"/>
      <c r="F268" s="5" t="n"/>
    </row>
    <row r="269">
      <c r="E269" s="5" t="n"/>
      <c r="F269" s="5" t="n"/>
    </row>
    <row r="270">
      <c r="E270" s="5" t="n"/>
      <c r="F270" s="5" t="n"/>
    </row>
    <row r="271">
      <c r="E271" s="5" t="n"/>
      <c r="F271" s="5" t="n"/>
    </row>
    <row r="272">
      <c r="E272" s="5" t="n"/>
      <c r="F272" s="5" t="n"/>
    </row>
    <row r="273">
      <c r="E273" s="5" t="n"/>
      <c r="F273" s="5" t="n"/>
    </row>
    <row r="274">
      <c r="E274" s="5" t="n"/>
      <c r="F274" s="5" t="n"/>
    </row>
    <row r="275">
      <c r="E275" s="5" t="n"/>
      <c r="F275" s="5" t="n"/>
    </row>
    <row r="276">
      <c r="E276" s="5" t="n"/>
      <c r="F276" s="5" t="n"/>
    </row>
    <row r="277">
      <c r="E277" s="5" t="n"/>
      <c r="F277" s="5" t="n"/>
    </row>
    <row r="278">
      <c r="E278" s="5" t="n"/>
      <c r="F278" s="5" t="n"/>
    </row>
    <row r="279">
      <c r="E279" s="5" t="n"/>
      <c r="F279" s="5" t="n"/>
    </row>
    <row r="280">
      <c r="E280" s="5" t="n"/>
      <c r="F280" s="5" t="n"/>
    </row>
    <row r="281">
      <c r="E281" s="5" t="n"/>
      <c r="F281" s="5" t="n"/>
    </row>
    <row r="282">
      <c r="E282" s="5" t="n"/>
      <c r="F282" s="5" t="n"/>
    </row>
    <row r="283">
      <c r="E283" s="5" t="n"/>
      <c r="F283" s="5" t="n"/>
    </row>
    <row r="284">
      <c r="E284" s="5" t="n"/>
      <c r="F284" s="5" t="n"/>
    </row>
    <row r="285">
      <c r="E285" s="5" t="n"/>
      <c r="F285" s="5" t="n"/>
    </row>
    <row r="286">
      <c r="E286" s="5" t="n"/>
      <c r="F286" s="5" t="n"/>
    </row>
    <row r="287">
      <c r="E287" s="5" t="n"/>
      <c r="F287" s="5" t="n"/>
    </row>
    <row r="288">
      <c r="E288" s="5" t="n"/>
      <c r="F288" s="5" t="n"/>
    </row>
    <row r="289">
      <c r="E289" s="5" t="n"/>
      <c r="F289" s="5" t="n"/>
    </row>
    <row r="290">
      <c r="E290" s="5" t="n"/>
      <c r="F290" s="5" t="n"/>
    </row>
    <row r="291">
      <c r="E291" s="5" t="n"/>
      <c r="F291" s="5" t="n"/>
    </row>
    <row r="292">
      <c r="E292" s="5" t="n"/>
      <c r="F292" s="5" t="n"/>
    </row>
    <row r="293">
      <c r="E293" s="5" t="n"/>
      <c r="F293" s="5" t="n"/>
    </row>
    <row r="294">
      <c r="E294" s="5" t="n"/>
      <c r="F294" s="5" t="n"/>
    </row>
    <row r="295">
      <c r="E295" s="5" t="n"/>
      <c r="F295" s="5" t="n"/>
    </row>
    <row r="296">
      <c r="E296" s="5" t="n"/>
      <c r="F296" s="5" t="n"/>
    </row>
    <row r="297">
      <c r="E297" s="5" t="n"/>
      <c r="F297" s="5" t="n"/>
    </row>
    <row r="298">
      <c r="E298" s="5" t="n"/>
      <c r="F298" s="5" t="n"/>
    </row>
    <row r="299">
      <c r="E299" s="5" t="n"/>
      <c r="F299" s="5" t="n"/>
    </row>
    <row r="300">
      <c r="E300" s="5" t="n"/>
      <c r="F300" s="5" t="n"/>
    </row>
    <row r="301">
      <c r="E301" s="5" t="n"/>
      <c r="F301" s="5" t="n"/>
    </row>
    <row r="302">
      <c r="E302" s="5" t="n"/>
      <c r="F302" s="5" t="n"/>
    </row>
    <row r="303">
      <c r="E303" s="5" t="n"/>
      <c r="F303" s="5" t="n"/>
    </row>
    <row r="304">
      <c r="E304" s="5" t="n"/>
      <c r="F304" s="5" t="n"/>
    </row>
    <row r="305">
      <c r="E305" s="5" t="n"/>
      <c r="F305" s="5" t="n"/>
    </row>
    <row r="306">
      <c r="E306" s="5" t="n"/>
      <c r="F306" s="5" t="n"/>
    </row>
    <row r="307">
      <c r="E307" s="5" t="n"/>
      <c r="F307" s="5" t="n"/>
    </row>
    <row r="308">
      <c r="E308" s="5" t="n"/>
      <c r="F308" s="5" t="n"/>
    </row>
    <row r="309">
      <c r="E309" s="5" t="n"/>
      <c r="F309" s="5" t="n"/>
    </row>
    <row r="310">
      <c r="E310" s="5" t="n"/>
      <c r="F310" s="5" t="n"/>
    </row>
    <row r="311">
      <c r="E311" s="5" t="n"/>
      <c r="F311" s="5" t="n"/>
    </row>
    <row r="312">
      <c r="E312" s="5" t="n"/>
      <c r="F312" s="5" t="n"/>
    </row>
    <row r="313">
      <c r="E313" s="5" t="n"/>
      <c r="F313" s="5" t="n"/>
    </row>
    <row r="314">
      <c r="E314" s="5" t="n"/>
      <c r="F314" s="5" t="n"/>
    </row>
    <row r="315">
      <c r="E315" s="5" t="n"/>
      <c r="F315" s="5" t="n"/>
    </row>
    <row r="316">
      <c r="E316" s="5" t="n"/>
      <c r="F316" s="5" t="n"/>
    </row>
    <row r="317">
      <c r="E317" s="5" t="n"/>
      <c r="F317" s="5" t="n"/>
    </row>
    <row r="318">
      <c r="E318" s="5" t="n"/>
      <c r="F318" s="5" t="n"/>
    </row>
    <row r="319">
      <c r="E319" s="5" t="n"/>
      <c r="F319" s="5" t="n"/>
    </row>
    <row r="320">
      <c r="E320" s="5" t="n"/>
      <c r="F320" s="5" t="n"/>
    </row>
    <row r="321">
      <c r="E321" s="5" t="n"/>
      <c r="F321" s="5" t="n"/>
    </row>
    <row r="322">
      <c r="E322" s="5" t="n"/>
      <c r="F322" s="5" t="n"/>
    </row>
    <row r="323">
      <c r="E323" s="5" t="n"/>
      <c r="F323" s="5" t="n"/>
    </row>
    <row r="324">
      <c r="E324" s="5" t="n"/>
      <c r="F324" s="5" t="n"/>
    </row>
    <row r="325">
      <c r="E325" s="5" t="n"/>
      <c r="F325" s="5" t="n"/>
    </row>
    <row r="326">
      <c r="E326" s="5" t="n"/>
      <c r="F326" s="5" t="n"/>
    </row>
    <row r="327">
      <c r="E327" s="5" t="n"/>
      <c r="F327" s="5" t="n"/>
    </row>
    <row r="328">
      <c r="E328" s="5" t="n"/>
      <c r="F328" s="5" t="n"/>
    </row>
    <row r="329">
      <c r="E329" s="5" t="n"/>
      <c r="F329" s="5" t="n"/>
    </row>
    <row r="330">
      <c r="E330" s="5" t="n"/>
      <c r="F330" s="5" t="n"/>
    </row>
    <row r="331">
      <c r="E331" s="5" t="n"/>
      <c r="F331" s="5" t="n"/>
    </row>
    <row r="332">
      <c r="E332" s="5" t="n"/>
      <c r="F332" s="5" t="n"/>
    </row>
    <row r="333">
      <c r="E333" s="5" t="n"/>
      <c r="F333" s="5" t="n"/>
    </row>
    <row r="334">
      <c r="E334" s="5" t="n"/>
      <c r="F334" s="5" t="n"/>
    </row>
    <row r="335">
      <c r="E335" s="5" t="n"/>
      <c r="F335" s="5" t="n"/>
    </row>
    <row r="336">
      <c r="E336" s="5" t="n"/>
      <c r="F336" s="5" t="n"/>
    </row>
    <row r="337">
      <c r="E337" s="5" t="n"/>
      <c r="F337" s="5" t="n"/>
    </row>
    <row r="338">
      <c r="E338" s="5" t="n"/>
      <c r="F338" s="5" t="n"/>
    </row>
    <row r="339">
      <c r="E339" s="5" t="n"/>
      <c r="F339" s="5" t="n"/>
    </row>
    <row r="340">
      <c r="E340" s="5" t="n"/>
      <c r="F340" s="5" t="n"/>
    </row>
    <row r="341">
      <c r="E341" s="5" t="n"/>
      <c r="F341" s="5" t="n"/>
    </row>
    <row r="342">
      <c r="E342" s="5" t="n"/>
      <c r="F342" s="5" t="n"/>
    </row>
    <row r="343">
      <c r="E343" s="5" t="n"/>
      <c r="F343" s="5" t="n"/>
    </row>
    <row r="344">
      <c r="E344" s="5" t="n"/>
      <c r="F344" s="5" t="n"/>
    </row>
    <row r="345">
      <c r="E345" s="5" t="n"/>
      <c r="F345" s="5" t="n"/>
    </row>
    <row r="346">
      <c r="E346" s="5" t="n"/>
      <c r="F346" s="5" t="n"/>
    </row>
    <row r="347">
      <c r="E347" s="5" t="n"/>
      <c r="F347" s="5" t="n"/>
    </row>
    <row r="348">
      <c r="E348" s="5" t="n"/>
      <c r="F348" s="5" t="n"/>
    </row>
    <row r="349">
      <c r="E349" s="5" t="n"/>
      <c r="F349" s="5" t="n"/>
    </row>
    <row r="350">
      <c r="E350" s="5" t="n"/>
      <c r="F350" s="5" t="n"/>
    </row>
    <row r="351">
      <c r="E351" s="5" t="n"/>
      <c r="F351" s="5" t="n"/>
    </row>
    <row r="352">
      <c r="E352" s="5" t="n"/>
      <c r="F352" s="5" t="n"/>
    </row>
    <row r="353">
      <c r="E353" s="5" t="n"/>
      <c r="F353" s="5" t="n"/>
    </row>
    <row r="354">
      <c r="E354" s="5" t="n"/>
      <c r="F354" s="5" t="n"/>
    </row>
    <row r="355">
      <c r="E355" s="5" t="n"/>
      <c r="F355" s="5" t="n"/>
    </row>
    <row r="356">
      <c r="E356" s="5" t="n"/>
      <c r="F356" s="5" t="n"/>
    </row>
    <row r="357">
      <c r="E357" s="5" t="n"/>
      <c r="F357" s="5" t="n"/>
    </row>
    <row r="358">
      <c r="E358" s="5" t="n"/>
      <c r="F358" s="5" t="n"/>
    </row>
    <row r="359">
      <c r="E359" s="5" t="n"/>
      <c r="F359" s="5" t="n"/>
    </row>
    <row r="360">
      <c r="E360" s="5" t="n"/>
      <c r="F360" s="5" t="n"/>
    </row>
    <row r="361">
      <c r="E361" s="5" t="n"/>
      <c r="F361" s="5" t="n"/>
    </row>
    <row r="362">
      <c r="E362" s="5" t="n"/>
      <c r="F362" s="5" t="n"/>
    </row>
    <row r="363">
      <c r="E363" s="5" t="n"/>
      <c r="F363" s="5" t="n"/>
    </row>
    <row r="364">
      <c r="E364" s="5" t="n"/>
      <c r="F364" s="5" t="n"/>
    </row>
    <row r="365">
      <c r="E365" s="5" t="n"/>
      <c r="F365" s="5" t="n"/>
    </row>
    <row r="366">
      <c r="E366" s="5" t="n"/>
      <c r="F366" s="5" t="n"/>
    </row>
    <row r="367">
      <c r="E367" s="5" t="n"/>
      <c r="F367" s="5" t="n"/>
    </row>
    <row r="368">
      <c r="E368" s="5" t="n"/>
      <c r="F368" s="5" t="n"/>
    </row>
    <row r="369">
      <c r="E369" s="5" t="n"/>
      <c r="F369" s="5" t="n"/>
    </row>
    <row r="370">
      <c r="E370" s="5" t="n"/>
      <c r="F370" s="5" t="n"/>
    </row>
    <row r="371">
      <c r="E371" s="5" t="n"/>
      <c r="F371" s="5" t="n"/>
    </row>
    <row r="372">
      <c r="E372" s="5" t="n"/>
      <c r="F372" s="5" t="n"/>
    </row>
    <row r="373">
      <c r="E373" s="5" t="n"/>
      <c r="F373" s="5" t="n"/>
    </row>
    <row r="374">
      <c r="E374" s="5" t="n"/>
      <c r="F374" s="5" t="n"/>
    </row>
    <row r="375">
      <c r="E375" s="5" t="n"/>
      <c r="F375" s="5" t="n"/>
    </row>
    <row r="376">
      <c r="E376" s="5" t="n"/>
      <c r="F376" s="5" t="n"/>
    </row>
    <row r="377">
      <c r="E377" s="5" t="n"/>
      <c r="F377" s="5" t="n"/>
    </row>
    <row r="378">
      <c r="E378" s="5" t="n"/>
      <c r="F378" s="5" t="n"/>
    </row>
    <row r="379">
      <c r="E379" s="5" t="n"/>
      <c r="F379" s="5" t="n"/>
    </row>
    <row r="380">
      <c r="E380" s="5" t="n"/>
      <c r="F380" s="5" t="n"/>
    </row>
    <row r="381">
      <c r="E381" s="5" t="n"/>
      <c r="F381" s="5" t="n"/>
    </row>
    <row r="382">
      <c r="E382" s="5" t="n"/>
      <c r="F382" s="5" t="n"/>
    </row>
    <row r="383">
      <c r="E383" s="5" t="n"/>
      <c r="F383" s="5" t="n"/>
    </row>
    <row r="384">
      <c r="E384" s="5" t="n"/>
      <c r="F384" s="5" t="n"/>
    </row>
    <row r="385">
      <c r="E385" s="5" t="n"/>
      <c r="F385" s="5" t="n"/>
    </row>
    <row r="386">
      <c r="E386" s="5" t="n"/>
      <c r="F386" s="5" t="n"/>
    </row>
    <row r="387">
      <c r="E387" s="5" t="n"/>
      <c r="F387" s="5" t="n"/>
    </row>
    <row r="388">
      <c r="E388" s="5" t="n"/>
      <c r="F388" s="5" t="n"/>
    </row>
    <row r="389">
      <c r="E389" s="5" t="n"/>
      <c r="F389" s="5" t="n"/>
    </row>
    <row r="390">
      <c r="E390" s="5" t="n"/>
      <c r="F390" s="5" t="n"/>
    </row>
    <row r="391">
      <c r="E391" s="5" t="n"/>
      <c r="F391" s="5" t="n"/>
    </row>
    <row r="392">
      <c r="E392" s="5" t="n"/>
      <c r="F392" s="5" t="n"/>
    </row>
    <row r="393">
      <c r="E393" s="5" t="n"/>
      <c r="F393" s="5" t="n"/>
    </row>
    <row r="394">
      <c r="E394" s="5" t="n"/>
      <c r="F394" s="5" t="n"/>
    </row>
    <row r="395">
      <c r="E395" s="5" t="n"/>
      <c r="F395" s="5" t="n"/>
    </row>
    <row r="396">
      <c r="E396" s="5" t="n"/>
      <c r="F396" s="5" t="n"/>
    </row>
    <row r="397">
      <c r="E397" s="5" t="n"/>
      <c r="F397" s="5" t="n"/>
    </row>
    <row r="398">
      <c r="E398" s="5" t="n"/>
      <c r="F398" s="5" t="n"/>
    </row>
    <row r="399">
      <c r="E399" s="5" t="n"/>
      <c r="F399" s="5" t="n"/>
    </row>
    <row r="400">
      <c r="E400" s="5" t="n"/>
      <c r="F400" s="5" t="n"/>
    </row>
    <row r="401">
      <c r="E401" s="5" t="n"/>
      <c r="F401" s="5" t="n"/>
    </row>
    <row r="402">
      <c r="E402" s="5" t="n"/>
      <c r="F402" s="5" t="n"/>
    </row>
    <row r="403">
      <c r="E403" s="5" t="n"/>
      <c r="F403" s="5" t="n"/>
    </row>
    <row r="404">
      <c r="E404" s="5" t="n"/>
      <c r="F404" s="5" t="n"/>
    </row>
    <row r="405">
      <c r="E405" s="5" t="n"/>
      <c r="F405" s="5" t="n"/>
    </row>
    <row r="406">
      <c r="E406" s="5" t="n"/>
      <c r="F406" s="5" t="n"/>
    </row>
    <row r="407">
      <c r="E407" s="5" t="n"/>
      <c r="F407" s="5" t="n"/>
    </row>
    <row r="408">
      <c r="E408" s="5" t="n"/>
      <c r="F408" s="5" t="n"/>
    </row>
    <row r="409">
      <c r="E409" s="5" t="n"/>
      <c r="F409" s="5" t="n"/>
    </row>
    <row r="410">
      <c r="E410" s="5" t="n"/>
      <c r="F410" s="5" t="n"/>
    </row>
    <row r="411">
      <c r="E411" s="5" t="n"/>
      <c r="F411" s="5" t="n"/>
    </row>
    <row r="412">
      <c r="E412" s="5" t="n"/>
      <c r="F412" s="5" t="n"/>
    </row>
    <row r="413">
      <c r="E413" s="5" t="n"/>
      <c r="F413" s="5" t="n"/>
    </row>
    <row r="414">
      <c r="E414" s="5" t="n"/>
      <c r="F414" s="5" t="n"/>
    </row>
    <row r="415">
      <c r="E415" s="5" t="n"/>
      <c r="F415" s="5" t="n"/>
    </row>
    <row r="416">
      <c r="E416" s="5" t="n"/>
      <c r="F416" s="5" t="n"/>
    </row>
    <row r="417">
      <c r="E417" s="5" t="n"/>
      <c r="F417" s="5" t="n"/>
    </row>
    <row r="418">
      <c r="E418" s="5" t="n"/>
      <c r="F418" s="5" t="n"/>
    </row>
    <row r="419">
      <c r="E419" s="5" t="n"/>
      <c r="F419" s="5" t="n"/>
    </row>
    <row r="420">
      <c r="E420" s="5" t="n"/>
      <c r="F420" s="5" t="n"/>
    </row>
    <row r="421">
      <c r="E421" s="5" t="n"/>
      <c r="F421" s="5" t="n"/>
    </row>
    <row r="422">
      <c r="E422" s="5" t="n"/>
      <c r="F422" s="5" t="n"/>
    </row>
    <row r="423">
      <c r="E423" s="5" t="n"/>
      <c r="F423" s="5" t="n"/>
    </row>
    <row r="424">
      <c r="E424" s="5" t="n"/>
      <c r="F424" s="5" t="n"/>
    </row>
    <row r="425">
      <c r="E425" s="5" t="n"/>
      <c r="F425" s="5" t="n"/>
    </row>
    <row r="426">
      <c r="E426" s="5" t="n"/>
      <c r="F426" s="5" t="n"/>
    </row>
    <row r="427">
      <c r="E427" s="5" t="n"/>
      <c r="F427" s="5" t="n"/>
    </row>
    <row r="428">
      <c r="E428" s="5" t="n"/>
      <c r="F428" s="5" t="n"/>
    </row>
    <row r="429">
      <c r="E429" s="5" t="n"/>
      <c r="F429" s="5" t="n"/>
    </row>
    <row r="430">
      <c r="E430" s="5" t="n"/>
      <c r="F430" s="5" t="n"/>
    </row>
    <row r="431">
      <c r="E431" s="5" t="n"/>
      <c r="F431" s="5" t="n"/>
    </row>
    <row r="432">
      <c r="E432" s="5" t="n"/>
      <c r="F432" s="5" t="n"/>
    </row>
    <row r="433">
      <c r="E433" s="5" t="n"/>
      <c r="F433" s="5" t="n"/>
    </row>
    <row r="434">
      <c r="E434" s="5" t="n"/>
      <c r="F434" s="5" t="n"/>
    </row>
    <row r="435">
      <c r="E435" s="5" t="n"/>
      <c r="F435" s="5" t="n"/>
    </row>
    <row r="436">
      <c r="E436" s="5" t="n"/>
      <c r="F436" s="5" t="n"/>
    </row>
    <row r="437">
      <c r="E437" s="5" t="n"/>
      <c r="F437" s="5" t="n"/>
    </row>
    <row r="438">
      <c r="E438" s="5" t="n"/>
      <c r="F438" s="5" t="n"/>
    </row>
    <row r="439">
      <c r="E439" s="5" t="n"/>
      <c r="F439" s="5" t="n"/>
    </row>
    <row r="440">
      <c r="E440" s="5" t="n"/>
      <c r="F440" s="5" t="n"/>
    </row>
    <row r="441">
      <c r="E441" s="5" t="n"/>
      <c r="F441" s="5" t="n"/>
    </row>
    <row r="442">
      <c r="E442" s="5" t="n"/>
      <c r="F442" s="5" t="n"/>
    </row>
    <row r="443">
      <c r="E443" s="5" t="n"/>
      <c r="F443" s="5" t="n"/>
    </row>
    <row r="444">
      <c r="E444" s="5" t="n"/>
      <c r="F444" s="5" t="n"/>
    </row>
    <row r="445">
      <c r="E445" s="5" t="n"/>
      <c r="F445" s="5" t="n"/>
    </row>
    <row r="446">
      <c r="E446" s="5" t="n"/>
      <c r="F446" s="5" t="n"/>
    </row>
    <row r="447">
      <c r="E447" s="5" t="n"/>
      <c r="F447" s="5" t="n"/>
    </row>
    <row r="448">
      <c r="E448" s="5" t="n"/>
      <c r="F448" s="5" t="n"/>
    </row>
    <row r="449">
      <c r="E449" s="5" t="n"/>
      <c r="F449" s="5" t="n"/>
    </row>
    <row r="450">
      <c r="E450" s="5" t="n"/>
      <c r="F450" s="5" t="n"/>
    </row>
    <row r="451">
      <c r="E451" s="5" t="n"/>
      <c r="F451" s="5" t="n"/>
    </row>
    <row r="452">
      <c r="E452" s="5" t="n"/>
      <c r="F452" s="5" t="n"/>
    </row>
    <row r="453">
      <c r="E453" s="5" t="n"/>
      <c r="F453" s="5" t="n"/>
    </row>
    <row r="454">
      <c r="E454" s="5" t="n"/>
      <c r="F454" s="5" t="n"/>
    </row>
    <row r="455">
      <c r="E455" s="5" t="n"/>
      <c r="F455" s="5" t="n"/>
    </row>
    <row r="456">
      <c r="E456" s="5" t="n"/>
      <c r="F456" s="5" t="n"/>
    </row>
    <row r="457">
      <c r="E457" s="5" t="n"/>
      <c r="F457" s="5" t="n"/>
    </row>
    <row r="458">
      <c r="E458" s="5" t="n"/>
      <c r="F458" s="5" t="n"/>
    </row>
    <row r="459">
      <c r="E459" s="5" t="n"/>
      <c r="F459" s="5" t="n"/>
    </row>
    <row r="460">
      <c r="E460" s="5" t="n"/>
      <c r="F460" s="5" t="n"/>
    </row>
    <row r="461">
      <c r="E461" s="5" t="n"/>
      <c r="F461" s="5" t="n"/>
    </row>
    <row r="462">
      <c r="E462" s="5" t="n"/>
      <c r="F462" s="5" t="n"/>
    </row>
    <row r="463">
      <c r="E463" s="5" t="n"/>
      <c r="F463" s="5" t="n"/>
    </row>
    <row r="464">
      <c r="E464" s="5" t="n"/>
      <c r="F464" s="5" t="n"/>
    </row>
    <row r="465">
      <c r="E465" s="5" t="n"/>
      <c r="F465" s="5" t="n"/>
    </row>
    <row r="466">
      <c r="E466" s="5" t="n"/>
      <c r="F466" s="5" t="n"/>
    </row>
    <row r="467">
      <c r="E467" s="5" t="n"/>
      <c r="F467" s="5" t="n"/>
    </row>
    <row r="468">
      <c r="E468" s="5" t="n"/>
      <c r="F468" s="5" t="n"/>
    </row>
    <row r="469">
      <c r="E469" s="5" t="n"/>
      <c r="F469" s="5" t="n"/>
    </row>
    <row r="470">
      <c r="E470" s="5" t="n"/>
      <c r="F470" s="5" t="n"/>
    </row>
    <row r="471">
      <c r="E471" s="5" t="n"/>
      <c r="F471" s="5" t="n"/>
    </row>
    <row r="472">
      <c r="E472" s="5" t="n"/>
      <c r="F472" s="5" t="n"/>
    </row>
    <row r="473">
      <c r="E473" s="5" t="n"/>
      <c r="F473" s="5" t="n"/>
    </row>
    <row r="474">
      <c r="E474" s="5" t="n"/>
      <c r="F474" s="5" t="n"/>
    </row>
    <row r="475">
      <c r="E475" s="5" t="n"/>
      <c r="F475" s="5" t="n"/>
    </row>
    <row r="476">
      <c r="E476" s="5" t="n"/>
      <c r="F476" s="5" t="n"/>
    </row>
    <row r="477">
      <c r="E477" s="5" t="n"/>
      <c r="F477" s="5" t="n"/>
    </row>
    <row r="478">
      <c r="E478" s="5" t="n"/>
      <c r="F478" s="5" t="n"/>
    </row>
    <row r="479">
      <c r="E479" s="5" t="n"/>
      <c r="F479" s="5" t="n"/>
    </row>
    <row r="480">
      <c r="E480" s="5" t="n"/>
      <c r="F480" s="5" t="n"/>
    </row>
    <row r="481">
      <c r="E481" s="5" t="n"/>
      <c r="F481" s="5" t="n"/>
    </row>
    <row r="482">
      <c r="E482" s="5" t="n"/>
      <c r="F482" s="5" t="n"/>
    </row>
    <row r="483">
      <c r="E483" s="5" t="n"/>
      <c r="F483" s="5" t="n"/>
    </row>
    <row r="484">
      <c r="E484" s="5" t="n"/>
      <c r="F484" s="5" t="n"/>
    </row>
    <row r="485">
      <c r="E485" s="5" t="n"/>
      <c r="F485" s="5" t="n"/>
    </row>
    <row r="486">
      <c r="E486" s="5" t="n"/>
      <c r="F486" s="5" t="n"/>
    </row>
    <row r="487">
      <c r="E487" s="5" t="n"/>
      <c r="F487" s="5" t="n"/>
    </row>
    <row r="488">
      <c r="E488" s="5" t="n"/>
      <c r="F488" s="5" t="n"/>
    </row>
    <row r="489">
      <c r="E489" s="5" t="n"/>
      <c r="F489" s="5" t="n"/>
    </row>
    <row r="490">
      <c r="E490" s="5" t="n"/>
      <c r="F490" s="5" t="n"/>
    </row>
    <row r="491">
      <c r="E491" s="5" t="n"/>
      <c r="F491" s="5" t="n"/>
    </row>
    <row r="492">
      <c r="E492" s="5" t="n"/>
      <c r="F492" s="5" t="n"/>
    </row>
    <row r="493">
      <c r="E493" s="5" t="n"/>
      <c r="F493" s="5" t="n"/>
    </row>
    <row r="494">
      <c r="E494" s="5" t="n"/>
      <c r="F494" s="5" t="n"/>
    </row>
    <row r="495">
      <c r="E495" s="5" t="n"/>
      <c r="F495" s="5" t="n"/>
    </row>
    <row r="496">
      <c r="E496" s="5" t="n"/>
      <c r="F496" s="5" t="n"/>
    </row>
    <row r="497">
      <c r="E497" s="5" t="n"/>
      <c r="F497" s="5" t="n"/>
    </row>
    <row r="498">
      <c r="E498" s="5" t="n"/>
      <c r="F498" s="5" t="n"/>
    </row>
    <row r="499">
      <c r="E499" s="5" t="n"/>
      <c r="F499" s="5" t="n"/>
    </row>
    <row r="500">
      <c r="E500" s="5" t="n"/>
      <c r="F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20" customWidth="1" min="5" max="5"/>
    <col width="19" customWidth="1" min="6" max="6"/>
    <col width="11" customWidth="1" min="7" max="7"/>
    <col width="10" customWidth="1" min="8" max="8"/>
    <col width="11" customWidth="1" min="9" max="9"/>
    <col width="13" customWidth="1" min="10" max="10"/>
    <col width="10" customWidth="1" min="11" max="11"/>
    <col width="12" customWidth="1" min="12" max="12"/>
    <col width="14" customWidth="1" min="13" max="13"/>
    <col width="10" customWidth="1" min="14" max="14"/>
  </cols>
  <sheetData>
    <row r="1" ht="22" customHeight="1">
      <c r="A1" s="4" t="inlineStr">
        <is>
          <t>RecID</t>
        </is>
      </c>
      <c r="B1" s="4" t="inlineStr">
        <is>
          <t>MeetingID</t>
        </is>
      </c>
      <c r="C1" s="4" t="inlineStr">
        <is>
          <t>ClientID</t>
        </is>
      </c>
      <c r="D1" s="4" t="inlineStr">
        <is>
          <t>HouseholdID</t>
        </is>
      </c>
      <c r="E1" s="4" t="inlineStr">
        <is>
          <t>RecommendationType</t>
        </is>
      </c>
      <c r="F1" s="4" t="inlineStr">
        <is>
          <t>ProductOrProvider</t>
        </is>
      </c>
      <c r="G1" s="4" t="inlineStr">
        <is>
          <t>Rationale</t>
        </is>
      </c>
      <c r="H1" s="4" t="inlineStr">
        <is>
          <t>Benefits</t>
        </is>
      </c>
      <c r="I1" s="4" t="inlineStr">
        <is>
          <t>Drawbacks</t>
        </is>
      </c>
      <c r="J1" s="4" t="inlineStr">
        <is>
          <t>FeesSummary</t>
        </is>
      </c>
      <c r="K1" s="4" t="inlineStr">
        <is>
          <t>Status</t>
        </is>
      </c>
      <c r="L1" s="4" t="inlineStr">
        <is>
          <t>TargetDate</t>
        </is>
      </c>
      <c r="M1" s="4" t="inlineStr">
        <is>
          <t>Dependencies</t>
        </is>
      </c>
      <c r="N1" s="4" t="inlineStr">
        <is>
          <t>Notes</t>
        </is>
      </c>
    </row>
    <row r="2">
      <c r="L2" s="5" t="n"/>
    </row>
    <row r="3">
      <c r="L3" s="5" t="n"/>
    </row>
    <row r="4">
      <c r="L4" s="5" t="n"/>
    </row>
    <row r="5">
      <c r="L5" s="5" t="n"/>
    </row>
    <row r="6">
      <c r="L6" s="5" t="n"/>
    </row>
    <row r="7">
      <c r="L7" s="5" t="n"/>
    </row>
    <row r="8">
      <c r="L8" s="5" t="n"/>
    </row>
    <row r="9">
      <c r="L9" s="5" t="n"/>
    </row>
    <row r="10">
      <c r="L10" s="5" t="n"/>
    </row>
    <row r="11">
      <c r="L11" s="5" t="n"/>
    </row>
    <row r="12">
      <c r="L12" s="5" t="n"/>
    </row>
    <row r="13">
      <c r="L13" s="5" t="n"/>
    </row>
    <row r="14">
      <c r="L14" s="5" t="n"/>
    </row>
    <row r="15">
      <c r="L15" s="5" t="n"/>
    </row>
    <row r="16">
      <c r="L16" s="5" t="n"/>
    </row>
    <row r="17">
      <c r="L17" s="5" t="n"/>
    </row>
    <row r="18">
      <c r="L18" s="5" t="n"/>
    </row>
    <row r="19">
      <c r="L19" s="5" t="n"/>
    </row>
    <row r="20">
      <c r="L20" s="5" t="n"/>
    </row>
    <row r="21">
      <c r="L21" s="5" t="n"/>
    </row>
    <row r="22">
      <c r="L22" s="5" t="n"/>
    </row>
    <row r="23">
      <c r="L23" s="5" t="n"/>
    </row>
    <row r="24">
      <c r="L24" s="5" t="n"/>
    </row>
    <row r="25">
      <c r="L25" s="5" t="n"/>
    </row>
    <row r="26">
      <c r="L26" s="5" t="n"/>
    </row>
    <row r="27">
      <c r="L27" s="5" t="n"/>
    </row>
    <row r="28">
      <c r="L28" s="5" t="n"/>
    </row>
    <row r="29">
      <c r="L29" s="5" t="n"/>
    </row>
    <row r="30">
      <c r="L30" s="5" t="n"/>
    </row>
    <row r="31">
      <c r="L31" s="5" t="n"/>
    </row>
    <row r="32">
      <c r="L32" s="5" t="n"/>
    </row>
    <row r="33">
      <c r="L33" s="5" t="n"/>
    </row>
    <row r="34">
      <c r="L34" s="5" t="n"/>
    </row>
    <row r="35">
      <c r="L35" s="5" t="n"/>
    </row>
    <row r="36">
      <c r="L36" s="5" t="n"/>
    </row>
    <row r="37">
      <c r="L37" s="5" t="n"/>
    </row>
    <row r="38">
      <c r="L38" s="5" t="n"/>
    </row>
    <row r="39">
      <c r="L39" s="5" t="n"/>
    </row>
    <row r="40">
      <c r="L40" s="5" t="n"/>
    </row>
    <row r="41">
      <c r="L41" s="5" t="n"/>
    </row>
    <row r="42">
      <c r="L42" s="5" t="n"/>
    </row>
    <row r="43">
      <c r="L43" s="5" t="n"/>
    </row>
    <row r="44">
      <c r="L44" s="5" t="n"/>
    </row>
    <row r="45">
      <c r="L45" s="5" t="n"/>
    </row>
    <row r="46">
      <c r="L46" s="5" t="n"/>
    </row>
    <row r="47">
      <c r="L47" s="5" t="n"/>
    </row>
    <row r="48">
      <c r="L48" s="5" t="n"/>
    </row>
    <row r="49">
      <c r="L49" s="5" t="n"/>
    </row>
    <row r="50">
      <c r="L50" s="5" t="n"/>
    </row>
    <row r="51">
      <c r="L51" s="5" t="n"/>
    </row>
    <row r="52">
      <c r="L52" s="5" t="n"/>
    </row>
    <row r="53">
      <c r="L53" s="5" t="n"/>
    </row>
    <row r="54">
      <c r="L54" s="5" t="n"/>
    </row>
    <row r="55">
      <c r="L55" s="5" t="n"/>
    </row>
    <row r="56">
      <c r="L56" s="5" t="n"/>
    </row>
    <row r="57">
      <c r="L57" s="5" t="n"/>
    </row>
    <row r="58">
      <c r="L58" s="5" t="n"/>
    </row>
    <row r="59">
      <c r="L59" s="5" t="n"/>
    </row>
    <row r="60">
      <c r="L60" s="5" t="n"/>
    </row>
    <row r="61">
      <c r="L61" s="5" t="n"/>
    </row>
    <row r="62">
      <c r="L62" s="5" t="n"/>
    </row>
    <row r="63">
      <c r="L63" s="5" t="n"/>
    </row>
    <row r="64">
      <c r="L64" s="5" t="n"/>
    </row>
    <row r="65">
      <c r="L65" s="5" t="n"/>
    </row>
    <row r="66">
      <c r="L66" s="5" t="n"/>
    </row>
    <row r="67">
      <c r="L67" s="5" t="n"/>
    </row>
    <row r="68">
      <c r="L68" s="5" t="n"/>
    </row>
    <row r="69">
      <c r="L69" s="5" t="n"/>
    </row>
    <row r="70">
      <c r="L70" s="5" t="n"/>
    </row>
    <row r="71">
      <c r="L71" s="5" t="n"/>
    </row>
    <row r="72">
      <c r="L72" s="5" t="n"/>
    </row>
    <row r="73">
      <c r="L73" s="5" t="n"/>
    </row>
    <row r="74">
      <c r="L74" s="5" t="n"/>
    </row>
    <row r="75">
      <c r="L75" s="5" t="n"/>
    </row>
    <row r="76">
      <c r="L76" s="5" t="n"/>
    </row>
    <row r="77">
      <c r="L77" s="5" t="n"/>
    </row>
    <row r="78">
      <c r="L78" s="5" t="n"/>
    </row>
    <row r="79">
      <c r="L79" s="5" t="n"/>
    </row>
    <row r="80">
      <c r="L80" s="5" t="n"/>
    </row>
    <row r="81">
      <c r="L81" s="5" t="n"/>
    </row>
    <row r="82">
      <c r="L82" s="5" t="n"/>
    </row>
    <row r="83">
      <c r="L83" s="5" t="n"/>
    </row>
    <row r="84">
      <c r="L84" s="5" t="n"/>
    </row>
    <row r="85">
      <c r="L85" s="5" t="n"/>
    </row>
    <row r="86">
      <c r="L86" s="5" t="n"/>
    </row>
    <row r="87">
      <c r="L87" s="5" t="n"/>
    </row>
    <row r="88">
      <c r="L88" s="5" t="n"/>
    </row>
    <row r="89">
      <c r="L89" s="5" t="n"/>
    </row>
    <row r="90">
      <c r="L90" s="5" t="n"/>
    </row>
    <row r="91">
      <c r="L91" s="5" t="n"/>
    </row>
    <row r="92">
      <c r="L92" s="5" t="n"/>
    </row>
    <row r="93">
      <c r="L93" s="5" t="n"/>
    </row>
    <row r="94">
      <c r="L94" s="5" t="n"/>
    </row>
    <row r="95">
      <c r="L95" s="5" t="n"/>
    </row>
    <row r="96">
      <c r="L96" s="5" t="n"/>
    </row>
    <row r="97">
      <c r="L97" s="5" t="n"/>
    </row>
    <row r="98">
      <c r="L98" s="5" t="n"/>
    </row>
    <row r="99">
      <c r="L99" s="5" t="n"/>
    </row>
    <row r="100">
      <c r="L100" s="5" t="n"/>
    </row>
    <row r="101">
      <c r="L101" s="5" t="n"/>
    </row>
    <row r="102">
      <c r="L102" s="5" t="n"/>
    </row>
    <row r="103">
      <c r="L103" s="5" t="n"/>
    </row>
    <row r="104">
      <c r="L104" s="5" t="n"/>
    </row>
    <row r="105">
      <c r="L105" s="5" t="n"/>
    </row>
    <row r="106">
      <c r="L106" s="5" t="n"/>
    </row>
    <row r="107">
      <c r="L107" s="5" t="n"/>
    </row>
    <row r="108">
      <c r="L108" s="5" t="n"/>
    </row>
    <row r="109">
      <c r="L109" s="5" t="n"/>
    </row>
    <row r="110">
      <c r="L110" s="5" t="n"/>
    </row>
    <row r="111">
      <c r="L111" s="5" t="n"/>
    </row>
    <row r="112">
      <c r="L112" s="5" t="n"/>
    </row>
    <row r="113">
      <c r="L113" s="5" t="n"/>
    </row>
    <row r="114">
      <c r="L114" s="5" t="n"/>
    </row>
    <row r="115">
      <c r="L115" s="5" t="n"/>
    </row>
    <row r="116">
      <c r="L116" s="5" t="n"/>
    </row>
    <row r="117">
      <c r="L117" s="5" t="n"/>
    </row>
    <row r="118">
      <c r="L118" s="5" t="n"/>
    </row>
    <row r="119">
      <c r="L119" s="5" t="n"/>
    </row>
    <row r="120">
      <c r="L120" s="5" t="n"/>
    </row>
    <row r="121">
      <c r="L121" s="5" t="n"/>
    </row>
    <row r="122">
      <c r="L122" s="5" t="n"/>
    </row>
    <row r="123">
      <c r="L123" s="5" t="n"/>
    </row>
    <row r="124">
      <c r="L124" s="5" t="n"/>
    </row>
    <row r="125">
      <c r="L125" s="5" t="n"/>
    </row>
    <row r="126">
      <c r="L126" s="5" t="n"/>
    </row>
    <row r="127">
      <c r="L127" s="5" t="n"/>
    </row>
    <row r="128">
      <c r="L128" s="5" t="n"/>
    </row>
    <row r="129">
      <c r="L129" s="5" t="n"/>
    </row>
    <row r="130">
      <c r="L130" s="5" t="n"/>
    </row>
    <row r="131">
      <c r="L131" s="5" t="n"/>
    </row>
    <row r="132">
      <c r="L132" s="5" t="n"/>
    </row>
    <row r="133">
      <c r="L133" s="5" t="n"/>
    </row>
    <row r="134">
      <c r="L134" s="5" t="n"/>
    </row>
    <row r="135">
      <c r="L135" s="5" t="n"/>
    </row>
    <row r="136">
      <c r="L136" s="5" t="n"/>
    </row>
    <row r="137">
      <c r="L137" s="5" t="n"/>
    </row>
    <row r="138">
      <c r="L138" s="5" t="n"/>
    </row>
    <row r="139">
      <c r="L139" s="5" t="n"/>
    </row>
    <row r="140">
      <c r="L140" s="5" t="n"/>
    </row>
    <row r="141">
      <c r="L141" s="5" t="n"/>
    </row>
    <row r="142">
      <c r="L142" s="5" t="n"/>
    </row>
    <row r="143">
      <c r="L143" s="5" t="n"/>
    </row>
    <row r="144">
      <c r="L144" s="5" t="n"/>
    </row>
    <row r="145">
      <c r="L145" s="5" t="n"/>
    </row>
    <row r="146">
      <c r="L146" s="5" t="n"/>
    </row>
    <row r="147">
      <c r="L147" s="5" t="n"/>
    </row>
    <row r="148">
      <c r="L148" s="5" t="n"/>
    </row>
    <row r="149">
      <c r="L149" s="5" t="n"/>
    </row>
    <row r="150">
      <c r="L150" s="5" t="n"/>
    </row>
    <row r="151">
      <c r="L151" s="5" t="n"/>
    </row>
    <row r="152">
      <c r="L152" s="5" t="n"/>
    </row>
    <row r="153">
      <c r="L153" s="5" t="n"/>
    </row>
    <row r="154">
      <c r="L154" s="5" t="n"/>
    </row>
    <row r="155">
      <c r="L155" s="5" t="n"/>
    </row>
    <row r="156">
      <c r="L156" s="5" t="n"/>
    </row>
    <row r="157">
      <c r="L157" s="5" t="n"/>
    </row>
    <row r="158">
      <c r="L158" s="5" t="n"/>
    </row>
    <row r="159">
      <c r="L159" s="5" t="n"/>
    </row>
    <row r="160">
      <c r="L160" s="5" t="n"/>
    </row>
    <row r="161">
      <c r="L161" s="5" t="n"/>
    </row>
    <row r="162">
      <c r="L162" s="5" t="n"/>
    </row>
    <row r="163">
      <c r="L163" s="5" t="n"/>
    </row>
    <row r="164">
      <c r="L164" s="5" t="n"/>
    </row>
    <row r="165">
      <c r="L165" s="5" t="n"/>
    </row>
    <row r="166">
      <c r="L166" s="5" t="n"/>
    </row>
    <row r="167">
      <c r="L167" s="5" t="n"/>
    </row>
    <row r="168">
      <c r="L168" s="5" t="n"/>
    </row>
    <row r="169">
      <c r="L169" s="5" t="n"/>
    </row>
    <row r="170">
      <c r="L170" s="5" t="n"/>
    </row>
    <row r="171">
      <c r="L171" s="5" t="n"/>
    </row>
    <row r="172">
      <c r="L172" s="5" t="n"/>
    </row>
    <row r="173">
      <c r="L173" s="5" t="n"/>
    </row>
    <row r="174">
      <c r="L174" s="5" t="n"/>
    </row>
    <row r="175">
      <c r="L175" s="5" t="n"/>
    </row>
    <row r="176">
      <c r="L176" s="5" t="n"/>
    </row>
    <row r="177">
      <c r="L177" s="5" t="n"/>
    </row>
    <row r="178">
      <c r="L178" s="5" t="n"/>
    </row>
    <row r="179">
      <c r="L179" s="5" t="n"/>
    </row>
    <row r="180">
      <c r="L180" s="5" t="n"/>
    </row>
    <row r="181">
      <c r="L181" s="5" t="n"/>
    </row>
    <row r="182">
      <c r="L182" s="5" t="n"/>
    </row>
    <row r="183">
      <c r="L183" s="5" t="n"/>
    </row>
    <row r="184">
      <c r="L184" s="5" t="n"/>
    </row>
    <row r="185">
      <c r="L185" s="5" t="n"/>
    </row>
    <row r="186">
      <c r="L186" s="5" t="n"/>
    </row>
    <row r="187">
      <c r="L187" s="5" t="n"/>
    </row>
    <row r="188">
      <c r="L188" s="5" t="n"/>
    </row>
    <row r="189">
      <c r="L189" s="5" t="n"/>
    </row>
    <row r="190">
      <c r="L190" s="5" t="n"/>
    </row>
    <row r="191">
      <c r="L191" s="5" t="n"/>
    </row>
    <row r="192">
      <c r="L192" s="5" t="n"/>
    </row>
    <row r="193">
      <c r="L193" s="5" t="n"/>
    </row>
    <row r="194">
      <c r="L194" s="5" t="n"/>
    </row>
    <row r="195">
      <c r="L195" s="5" t="n"/>
    </row>
    <row r="196">
      <c r="L196" s="5" t="n"/>
    </row>
    <row r="197">
      <c r="L197" s="5" t="n"/>
    </row>
    <row r="198">
      <c r="L198" s="5" t="n"/>
    </row>
    <row r="199">
      <c r="L199" s="5" t="n"/>
    </row>
    <row r="200">
      <c r="L200" s="5" t="n"/>
    </row>
    <row r="201">
      <c r="L201" s="5" t="n"/>
    </row>
    <row r="202">
      <c r="L202" s="5" t="n"/>
    </row>
    <row r="203">
      <c r="L203" s="5" t="n"/>
    </row>
    <row r="204">
      <c r="L204" s="5" t="n"/>
    </row>
    <row r="205">
      <c r="L205" s="5" t="n"/>
    </row>
    <row r="206">
      <c r="L206" s="5" t="n"/>
    </row>
    <row r="207">
      <c r="L207" s="5" t="n"/>
    </row>
    <row r="208">
      <c r="L208" s="5" t="n"/>
    </row>
    <row r="209">
      <c r="L209" s="5" t="n"/>
    </row>
    <row r="210">
      <c r="L210" s="5" t="n"/>
    </row>
    <row r="211">
      <c r="L211" s="5" t="n"/>
    </row>
    <row r="212">
      <c r="L212" s="5" t="n"/>
    </row>
    <row r="213">
      <c r="L213" s="5" t="n"/>
    </row>
    <row r="214">
      <c r="L214" s="5" t="n"/>
    </row>
    <row r="215">
      <c r="L215" s="5" t="n"/>
    </row>
    <row r="216">
      <c r="L216" s="5" t="n"/>
    </row>
    <row r="217">
      <c r="L217" s="5" t="n"/>
    </row>
    <row r="218">
      <c r="L218" s="5" t="n"/>
    </row>
    <row r="219">
      <c r="L219" s="5" t="n"/>
    </row>
    <row r="220">
      <c r="L220" s="5" t="n"/>
    </row>
    <row r="221">
      <c r="L221" s="5" t="n"/>
    </row>
    <row r="222">
      <c r="L222" s="5" t="n"/>
    </row>
    <row r="223">
      <c r="L223" s="5" t="n"/>
    </row>
    <row r="224">
      <c r="L224" s="5" t="n"/>
    </row>
    <row r="225">
      <c r="L225" s="5" t="n"/>
    </row>
    <row r="226">
      <c r="L226" s="5" t="n"/>
    </row>
    <row r="227">
      <c r="L227" s="5" t="n"/>
    </row>
    <row r="228">
      <c r="L228" s="5" t="n"/>
    </row>
    <row r="229">
      <c r="L229" s="5" t="n"/>
    </row>
    <row r="230">
      <c r="L230" s="5" t="n"/>
    </row>
    <row r="231">
      <c r="L231" s="5" t="n"/>
    </row>
    <row r="232">
      <c r="L232" s="5" t="n"/>
    </row>
    <row r="233">
      <c r="L233" s="5" t="n"/>
    </row>
    <row r="234">
      <c r="L234" s="5" t="n"/>
    </row>
    <row r="235">
      <c r="L235" s="5" t="n"/>
    </row>
    <row r="236">
      <c r="L236" s="5" t="n"/>
    </row>
    <row r="237">
      <c r="L237" s="5" t="n"/>
    </row>
    <row r="238">
      <c r="L238" s="5" t="n"/>
    </row>
    <row r="239">
      <c r="L239" s="5" t="n"/>
    </row>
    <row r="240">
      <c r="L240" s="5" t="n"/>
    </row>
    <row r="241">
      <c r="L241" s="5" t="n"/>
    </row>
    <row r="242">
      <c r="L242" s="5" t="n"/>
    </row>
    <row r="243">
      <c r="L243" s="5" t="n"/>
    </row>
    <row r="244">
      <c r="L244" s="5" t="n"/>
    </row>
    <row r="245">
      <c r="L245" s="5" t="n"/>
    </row>
    <row r="246">
      <c r="L246" s="5" t="n"/>
    </row>
    <row r="247">
      <c r="L247" s="5" t="n"/>
    </row>
    <row r="248">
      <c r="L248" s="5" t="n"/>
    </row>
    <row r="249">
      <c r="L249" s="5" t="n"/>
    </row>
    <row r="250">
      <c r="L250" s="5" t="n"/>
    </row>
    <row r="251">
      <c r="L251" s="5" t="n"/>
    </row>
    <row r="252">
      <c r="L252" s="5" t="n"/>
    </row>
    <row r="253">
      <c r="L253" s="5" t="n"/>
    </row>
    <row r="254">
      <c r="L254" s="5" t="n"/>
    </row>
    <row r="255">
      <c r="L255" s="5" t="n"/>
    </row>
    <row r="256">
      <c r="L256" s="5" t="n"/>
    </row>
    <row r="257">
      <c r="L257" s="5" t="n"/>
    </row>
    <row r="258">
      <c r="L258" s="5" t="n"/>
    </row>
    <row r="259">
      <c r="L259" s="5" t="n"/>
    </row>
    <row r="260">
      <c r="L260" s="5" t="n"/>
    </row>
    <row r="261">
      <c r="L261" s="5" t="n"/>
    </row>
    <row r="262">
      <c r="L262" s="5" t="n"/>
    </row>
    <row r="263">
      <c r="L263" s="5" t="n"/>
    </row>
    <row r="264">
      <c r="L264" s="5" t="n"/>
    </row>
    <row r="265">
      <c r="L265" s="5" t="n"/>
    </row>
    <row r="266">
      <c r="L266" s="5" t="n"/>
    </row>
    <row r="267">
      <c r="L267" s="5" t="n"/>
    </row>
    <row r="268">
      <c r="L268" s="5" t="n"/>
    </row>
    <row r="269">
      <c r="L269" s="5" t="n"/>
    </row>
    <row r="270">
      <c r="L270" s="5" t="n"/>
    </row>
    <row r="271">
      <c r="L271" s="5" t="n"/>
    </row>
    <row r="272">
      <c r="L272" s="5" t="n"/>
    </row>
    <row r="273">
      <c r="L273" s="5" t="n"/>
    </row>
    <row r="274">
      <c r="L274" s="5" t="n"/>
    </row>
    <row r="275">
      <c r="L275" s="5" t="n"/>
    </row>
    <row r="276">
      <c r="L276" s="5" t="n"/>
    </row>
    <row r="277">
      <c r="L277" s="5" t="n"/>
    </row>
    <row r="278">
      <c r="L278" s="5" t="n"/>
    </row>
    <row r="279">
      <c r="L279" s="5" t="n"/>
    </row>
    <row r="280">
      <c r="L280" s="5" t="n"/>
    </row>
    <row r="281">
      <c r="L281" s="5" t="n"/>
    </row>
    <row r="282">
      <c r="L282" s="5" t="n"/>
    </row>
    <row r="283">
      <c r="L283" s="5" t="n"/>
    </row>
    <row r="284">
      <c r="L284" s="5" t="n"/>
    </row>
    <row r="285">
      <c r="L285" s="5" t="n"/>
    </row>
    <row r="286">
      <c r="L286" s="5" t="n"/>
    </row>
    <row r="287">
      <c r="L287" s="5" t="n"/>
    </row>
    <row r="288">
      <c r="L288" s="5" t="n"/>
    </row>
    <row r="289">
      <c r="L289" s="5" t="n"/>
    </row>
    <row r="290">
      <c r="L290" s="5" t="n"/>
    </row>
    <row r="291">
      <c r="L291" s="5" t="n"/>
    </row>
    <row r="292">
      <c r="L292" s="5" t="n"/>
    </row>
    <row r="293">
      <c r="L293" s="5" t="n"/>
    </row>
    <row r="294">
      <c r="L294" s="5" t="n"/>
    </row>
    <row r="295">
      <c r="L295" s="5" t="n"/>
    </row>
    <row r="296">
      <c r="L296" s="5" t="n"/>
    </row>
    <row r="297">
      <c r="L297" s="5" t="n"/>
    </row>
    <row r="298">
      <c r="L298" s="5" t="n"/>
    </row>
    <row r="299">
      <c r="L299" s="5" t="n"/>
    </row>
    <row r="300">
      <c r="L300" s="5" t="n"/>
    </row>
    <row r="301">
      <c r="L301" s="5" t="n"/>
    </row>
    <row r="302">
      <c r="L302" s="5" t="n"/>
    </row>
    <row r="303">
      <c r="L303" s="5" t="n"/>
    </row>
    <row r="304">
      <c r="L304" s="5" t="n"/>
    </row>
    <row r="305">
      <c r="L305" s="5" t="n"/>
    </row>
    <row r="306">
      <c r="L306" s="5" t="n"/>
    </row>
    <row r="307">
      <c r="L307" s="5" t="n"/>
    </row>
    <row r="308">
      <c r="L308" s="5" t="n"/>
    </row>
    <row r="309">
      <c r="L309" s="5" t="n"/>
    </row>
    <row r="310">
      <c r="L310" s="5" t="n"/>
    </row>
    <row r="311">
      <c r="L311" s="5" t="n"/>
    </row>
    <row r="312">
      <c r="L312" s="5" t="n"/>
    </row>
    <row r="313">
      <c r="L313" s="5" t="n"/>
    </row>
    <row r="314">
      <c r="L314" s="5" t="n"/>
    </row>
    <row r="315">
      <c r="L315" s="5" t="n"/>
    </row>
    <row r="316">
      <c r="L316" s="5" t="n"/>
    </row>
    <row r="317">
      <c r="L317" s="5" t="n"/>
    </row>
    <row r="318">
      <c r="L318" s="5" t="n"/>
    </row>
    <row r="319">
      <c r="L319" s="5" t="n"/>
    </row>
    <row r="320">
      <c r="L320" s="5" t="n"/>
    </row>
    <row r="321">
      <c r="L321" s="5" t="n"/>
    </row>
    <row r="322">
      <c r="L322" s="5" t="n"/>
    </row>
    <row r="323">
      <c r="L323" s="5" t="n"/>
    </row>
    <row r="324">
      <c r="L324" s="5" t="n"/>
    </row>
    <row r="325">
      <c r="L325" s="5" t="n"/>
    </row>
    <row r="326">
      <c r="L326" s="5" t="n"/>
    </row>
    <row r="327">
      <c r="L327" s="5" t="n"/>
    </row>
    <row r="328">
      <c r="L328" s="5" t="n"/>
    </row>
    <row r="329">
      <c r="L329" s="5" t="n"/>
    </row>
    <row r="330">
      <c r="L330" s="5" t="n"/>
    </row>
    <row r="331">
      <c r="L331" s="5" t="n"/>
    </row>
    <row r="332">
      <c r="L332" s="5" t="n"/>
    </row>
    <row r="333">
      <c r="L333" s="5" t="n"/>
    </row>
    <row r="334">
      <c r="L334" s="5" t="n"/>
    </row>
    <row r="335">
      <c r="L335" s="5" t="n"/>
    </row>
    <row r="336">
      <c r="L336" s="5" t="n"/>
    </row>
    <row r="337">
      <c r="L337" s="5" t="n"/>
    </row>
    <row r="338">
      <c r="L338" s="5" t="n"/>
    </row>
    <row r="339">
      <c r="L339" s="5" t="n"/>
    </row>
    <row r="340">
      <c r="L340" s="5" t="n"/>
    </row>
    <row r="341">
      <c r="L341" s="5" t="n"/>
    </row>
    <row r="342">
      <c r="L342" s="5" t="n"/>
    </row>
    <row r="343">
      <c r="L343" s="5" t="n"/>
    </row>
    <row r="344">
      <c r="L344" s="5" t="n"/>
    </row>
    <row r="345">
      <c r="L345" s="5" t="n"/>
    </row>
    <row r="346">
      <c r="L346" s="5" t="n"/>
    </row>
    <row r="347">
      <c r="L347" s="5" t="n"/>
    </row>
    <row r="348">
      <c r="L348" s="5" t="n"/>
    </row>
    <row r="349">
      <c r="L349" s="5" t="n"/>
    </row>
    <row r="350">
      <c r="L350" s="5" t="n"/>
    </row>
    <row r="351">
      <c r="L351" s="5" t="n"/>
    </row>
    <row r="352">
      <c r="L352" s="5" t="n"/>
    </row>
    <row r="353">
      <c r="L353" s="5" t="n"/>
    </row>
    <row r="354">
      <c r="L354" s="5" t="n"/>
    </row>
    <row r="355">
      <c r="L355" s="5" t="n"/>
    </row>
    <row r="356">
      <c r="L356" s="5" t="n"/>
    </row>
    <row r="357">
      <c r="L357" s="5" t="n"/>
    </row>
    <row r="358">
      <c r="L358" s="5" t="n"/>
    </row>
    <row r="359">
      <c r="L359" s="5" t="n"/>
    </row>
    <row r="360">
      <c r="L360" s="5" t="n"/>
    </row>
    <row r="361">
      <c r="L361" s="5" t="n"/>
    </row>
    <row r="362">
      <c r="L362" s="5" t="n"/>
    </row>
    <row r="363">
      <c r="L363" s="5" t="n"/>
    </row>
    <row r="364">
      <c r="L364" s="5" t="n"/>
    </row>
    <row r="365">
      <c r="L365" s="5" t="n"/>
    </row>
    <row r="366">
      <c r="L366" s="5" t="n"/>
    </row>
    <row r="367">
      <c r="L367" s="5" t="n"/>
    </row>
    <row r="368">
      <c r="L368" s="5" t="n"/>
    </row>
    <row r="369">
      <c r="L369" s="5" t="n"/>
    </row>
    <row r="370">
      <c r="L370" s="5" t="n"/>
    </row>
    <row r="371">
      <c r="L371" s="5" t="n"/>
    </row>
    <row r="372">
      <c r="L372" s="5" t="n"/>
    </row>
    <row r="373">
      <c r="L373" s="5" t="n"/>
    </row>
    <row r="374">
      <c r="L374" s="5" t="n"/>
    </row>
    <row r="375">
      <c r="L375" s="5" t="n"/>
    </row>
    <row r="376">
      <c r="L376" s="5" t="n"/>
    </row>
    <row r="377">
      <c r="L377" s="5" t="n"/>
    </row>
    <row r="378">
      <c r="L378" s="5" t="n"/>
    </row>
    <row r="379">
      <c r="L379" s="5" t="n"/>
    </row>
    <row r="380">
      <c r="L380" s="5" t="n"/>
    </row>
    <row r="381">
      <c r="L381" s="5" t="n"/>
    </row>
    <row r="382">
      <c r="L382" s="5" t="n"/>
    </row>
    <row r="383">
      <c r="L383" s="5" t="n"/>
    </row>
    <row r="384">
      <c r="L384" s="5" t="n"/>
    </row>
    <row r="385">
      <c r="L385" s="5" t="n"/>
    </row>
    <row r="386">
      <c r="L386" s="5" t="n"/>
    </row>
    <row r="387">
      <c r="L387" s="5" t="n"/>
    </row>
    <row r="388">
      <c r="L388" s="5" t="n"/>
    </row>
    <row r="389">
      <c r="L389" s="5" t="n"/>
    </row>
    <row r="390">
      <c r="L390" s="5" t="n"/>
    </row>
    <row r="391">
      <c r="L391" s="5" t="n"/>
    </row>
    <row r="392">
      <c r="L392" s="5" t="n"/>
    </row>
    <row r="393">
      <c r="L393" s="5" t="n"/>
    </row>
    <row r="394">
      <c r="L394" s="5" t="n"/>
    </row>
    <row r="395">
      <c r="L395" s="5" t="n"/>
    </row>
    <row r="396">
      <c r="L396" s="5" t="n"/>
    </row>
    <row r="397">
      <c r="L397" s="5" t="n"/>
    </row>
    <row r="398">
      <c r="L398" s="5" t="n"/>
    </row>
    <row r="399">
      <c r="L399" s="5" t="n"/>
    </row>
    <row r="400">
      <c r="L400" s="5" t="n"/>
    </row>
    <row r="401">
      <c r="L401" s="5" t="n"/>
    </row>
    <row r="402">
      <c r="L402" s="5" t="n"/>
    </row>
    <row r="403">
      <c r="L403" s="5" t="n"/>
    </row>
    <row r="404">
      <c r="L404" s="5" t="n"/>
    </row>
    <row r="405">
      <c r="L405" s="5" t="n"/>
    </row>
    <row r="406">
      <c r="L406" s="5" t="n"/>
    </row>
    <row r="407">
      <c r="L407" s="5" t="n"/>
    </row>
    <row r="408">
      <c r="L408" s="5" t="n"/>
    </row>
    <row r="409">
      <c r="L409" s="5" t="n"/>
    </row>
    <row r="410">
      <c r="L410" s="5" t="n"/>
    </row>
    <row r="411">
      <c r="L411" s="5" t="n"/>
    </row>
    <row r="412">
      <c r="L412" s="5" t="n"/>
    </row>
    <row r="413">
      <c r="L413" s="5" t="n"/>
    </row>
    <row r="414">
      <c r="L414" s="5" t="n"/>
    </row>
    <row r="415">
      <c r="L415" s="5" t="n"/>
    </row>
    <row r="416">
      <c r="L416" s="5" t="n"/>
    </row>
    <row r="417">
      <c r="L417" s="5" t="n"/>
    </row>
    <row r="418">
      <c r="L418" s="5" t="n"/>
    </row>
    <row r="419">
      <c r="L419" s="5" t="n"/>
    </row>
    <row r="420">
      <c r="L420" s="5" t="n"/>
    </row>
    <row r="421">
      <c r="L421" s="5" t="n"/>
    </row>
    <row r="422">
      <c r="L422" s="5" t="n"/>
    </row>
    <row r="423">
      <c r="L423" s="5" t="n"/>
    </row>
    <row r="424">
      <c r="L424" s="5" t="n"/>
    </row>
    <row r="425">
      <c r="L425" s="5" t="n"/>
    </row>
    <row r="426">
      <c r="L426" s="5" t="n"/>
    </row>
    <row r="427">
      <c r="L427" s="5" t="n"/>
    </row>
    <row r="428">
      <c r="L428" s="5" t="n"/>
    </row>
    <row r="429">
      <c r="L429" s="5" t="n"/>
    </row>
    <row r="430">
      <c r="L430" s="5" t="n"/>
    </row>
    <row r="431">
      <c r="L431" s="5" t="n"/>
    </row>
    <row r="432">
      <c r="L432" s="5" t="n"/>
    </row>
    <row r="433">
      <c r="L433" s="5" t="n"/>
    </row>
    <row r="434">
      <c r="L434" s="5" t="n"/>
    </row>
    <row r="435">
      <c r="L435" s="5" t="n"/>
    </row>
    <row r="436">
      <c r="L436" s="5" t="n"/>
    </row>
    <row r="437">
      <c r="L437" s="5" t="n"/>
    </row>
    <row r="438">
      <c r="L438" s="5" t="n"/>
    </row>
    <row r="439">
      <c r="L439" s="5" t="n"/>
    </row>
    <row r="440">
      <c r="L440" s="5" t="n"/>
    </row>
    <row r="441">
      <c r="L441" s="5" t="n"/>
    </row>
    <row r="442">
      <c r="L442" s="5" t="n"/>
    </row>
    <row r="443">
      <c r="L443" s="5" t="n"/>
    </row>
    <row r="444">
      <c r="L444" s="5" t="n"/>
    </row>
    <row r="445">
      <c r="L445" s="5" t="n"/>
    </row>
    <row r="446">
      <c r="L446" s="5" t="n"/>
    </row>
    <row r="447">
      <c r="L447" s="5" t="n"/>
    </row>
    <row r="448">
      <c r="L448" s="5" t="n"/>
    </row>
    <row r="449">
      <c r="L449" s="5" t="n"/>
    </row>
    <row r="450">
      <c r="L450" s="5" t="n"/>
    </row>
    <row r="451">
      <c r="L451" s="5" t="n"/>
    </row>
    <row r="452">
      <c r="L452" s="5" t="n"/>
    </row>
    <row r="453">
      <c r="L453" s="5" t="n"/>
    </row>
    <row r="454">
      <c r="L454" s="5" t="n"/>
    </row>
    <row r="455">
      <c r="L455" s="5" t="n"/>
    </row>
    <row r="456">
      <c r="L456" s="5" t="n"/>
    </row>
    <row r="457">
      <c r="L457" s="5" t="n"/>
    </row>
    <row r="458">
      <c r="L458" s="5" t="n"/>
    </row>
    <row r="459">
      <c r="L459" s="5" t="n"/>
    </row>
    <row r="460">
      <c r="L460" s="5" t="n"/>
    </row>
    <row r="461">
      <c r="L461" s="5" t="n"/>
    </row>
    <row r="462">
      <c r="L462" s="5" t="n"/>
    </row>
    <row r="463">
      <c r="L463" s="5" t="n"/>
    </row>
    <row r="464">
      <c r="L464" s="5" t="n"/>
    </row>
    <row r="465">
      <c r="L465" s="5" t="n"/>
    </row>
    <row r="466">
      <c r="L466" s="5" t="n"/>
    </row>
    <row r="467">
      <c r="L467" s="5" t="n"/>
    </row>
    <row r="468">
      <c r="L468" s="5" t="n"/>
    </row>
    <row r="469">
      <c r="L469" s="5" t="n"/>
    </row>
    <row r="470">
      <c r="L470" s="5" t="n"/>
    </row>
    <row r="471">
      <c r="L471" s="5" t="n"/>
    </row>
    <row r="472">
      <c r="L472" s="5" t="n"/>
    </row>
    <row r="473">
      <c r="L473" s="5" t="n"/>
    </row>
    <row r="474">
      <c r="L474" s="5" t="n"/>
    </row>
    <row r="475">
      <c r="L475" s="5" t="n"/>
    </row>
    <row r="476">
      <c r="L476" s="5" t="n"/>
    </row>
    <row r="477">
      <c r="L477" s="5" t="n"/>
    </row>
    <row r="478">
      <c r="L478" s="5" t="n"/>
    </row>
    <row r="479">
      <c r="L479" s="5" t="n"/>
    </row>
    <row r="480">
      <c r="L480" s="5" t="n"/>
    </row>
    <row r="481">
      <c r="L481" s="5" t="n"/>
    </row>
    <row r="482">
      <c r="L482" s="5" t="n"/>
    </row>
    <row r="483">
      <c r="L483" s="5" t="n"/>
    </row>
    <row r="484">
      <c r="L484" s="5" t="n"/>
    </row>
    <row r="485">
      <c r="L485" s="5" t="n"/>
    </row>
    <row r="486">
      <c r="L486" s="5" t="n"/>
    </row>
    <row r="487">
      <c r="L487" s="5" t="n"/>
    </row>
    <row r="488">
      <c r="L488" s="5" t="n"/>
    </row>
    <row r="489">
      <c r="L489" s="5" t="n"/>
    </row>
    <row r="490">
      <c r="L490" s="5" t="n"/>
    </row>
    <row r="491">
      <c r="L491" s="5" t="n"/>
    </row>
    <row r="492">
      <c r="L492" s="5" t="n"/>
    </row>
    <row r="493">
      <c r="L493" s="5" t="n"/>
    </row>
    <row r="494">
      <c r="L494" s="5" t="n"/>
    </row>
    <row r="495">
      <c r="L495" s="5" t="n"/>
    </row>
    <row r="496">
      <c r="L496" s="5" t="n"/>
    </row>
    <row r="497">
      <c r="L497" s="5" t="n"/>
    </row>
    <row r="498">
      <c r="L498" s="5" t="n"/>
    </row>
    <row r="499">
      <c r="L499" s="5" t="n"/>
    </row>
    <row r="500">
      <c r="L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19" customWidth="1" min="9" max="9"/>
    <col width="17" customWidth="1" min="10" max="10"/>
    <col width="10" customWidth="1" min="11" max="11"/>
  </cols>
  <sheetData>
    <row r="1" ht="22" customHeight="1">
      <c r="A1" s="4" t="inlineStr">
        <is>
          <t>TaskID</t>
        </is>
      </c>
      <c r="B1" s="4" t="inlineStr">
        <is>
          <t>MeetingID</t>
        </is>
      </c>
      <c r="C1" s="4" t="inlineStr">
        <is>
          <t>Owner</t>
        </is>
      </c>
      <c r="D1" s="4" t="inlineStr">
        <is>
          <t>TaskCategory</t>
        </is>
      </c>
      <c r="E1" s="4" t="inlineStr">
        <is>
          <t>TaskDescription</t>
        </is>
      </c>
      <c r="F1" s="4" t="inlineStr">
        <is>
          <t>DueDate</t>
        </is>
      </c>
      <c r="G1" s="4" t="inlineStr">
        <is>
          <t>Status</t>
        </is>
      </c>
      <c r="H1" s="4" t="inlineStr">
        <is>
          <t>BlockingIssue</t>
        </is>
      </c>
      <c r="I1" s="4" t="inlineStr">
        <is>
          <t>RelatedEntityType</t>
        </is>
      </c>
      <c r="J1" s="4" t="inlineStr">
        <is>
          <t>RelatedEntityID</t>
        </is>
      </c>
      <c r="K1" s="4" t="inlineStr">
        <is>
          <t>Notes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  <row r="37">
      <c r="F37" s="5" t="n"/>
    </row>
    <row r="38">
      <c r="F38" s="5" t="n"/>
    </row>
    <row r="39">
      <c r="F39" s="5" t="n"/>
    </row>
    <row r="40">
      <c r="F40" s="5" t="n"/>
    </row>
    <row r="41">
      <c r="F41" s="5" t="n"/>
    </row>
    <row r="42">
      <c r="F42" s="5" t="n"/>
    </row>
    <row r="43">
      <c r="F43" s="5" t="n"/>
    </row>
    <row r="44">
      <c r="F44" s="5" t="n"/>
    </row>
    <row r="45">
      <c r="F45" s="5" t="n"/>
    </row>
    <row r="46">
      <c r="F46" s="5" t="n"/>
    </row>
    <row r="47">
      <c r="F47" s="5" t="n"/>
    </row>
    <row r="48">
      <c r="F48" s="5" t="n"/>
    </row>
    <row r="49">
      <c r="F49" s="5" t="n"/>
    </row>
    <row r="50">
      <c r="F50" s="5" t="n"/>
    </row>
    <row r="51">
      <c r="F51" s="5" t="n"/>
    </row>
    <row r="52">
      <c r="F52" s="5" t="n"/>
    </row>
    <row r="53">
      <c r="F53" s="5" t="n"/>
    </row>
    <row r="54">
      <c r="F54" s="5" t="n"/>
    </row>
    <row r="55">
      <c r="F55" s="5" t="n"/>
    </row>
    <row r="56">
      <c r="F56" s="5" t="n"/>
    </row>
    <row r="57">
      <c r="F57" s="5" t="n"/>
    </row>
    <row r="58">
      <c r="F58" s="5" t="n"/>
    </row>
    <row r="59">
      <c r="F59" s="5" t="n"/>
    </row>
    <row r="60">
      <c r="F60" s="5" t="n"/>
    </row>
    <row r="61">
      <c r="F61" s="5" t="n"/>
    </row>
    <row r="62">
      <c r="F62" s="5" t="n"/>
    </row>
    <row r="63">
      <c r="F63" s="5" t="n"/>
    </row>
    <row r="64">
      <c r="F64" s="5" t="n"/>
    </row>
    <row r="65">
      <c r="F65" s="5" t="n"/>
    </row>
    <row r="66">
      <c r="F66" s="5" t="n"/>
    </row>
    <row r="67">
      <c r="F67" s="5" t="n"/>
    </row>
    <row r="68">
      <c r="F68" s="5" t="n"/>
    </row>
    <row r="69">
      <c r="F69" s="5" t="n"/>
    </row>
    <row r="70">
      <c r="F70" s="5" t="n"/>
    </row>
    <row r="71">
      <c r="F71" s="5" t="n"/>
    </row>
    <row r="72">
      <c r="F72" s="5" t="n"/>
    </row>
    <row r="73">
      <c r="F73" s="5" t="n"/>
    </row>
    <row r="74">
      <c r="F74" s="5" t="n"/>
    </row>
    <row r="75">
      <c r="F75" s="5" t="n"/>
    </row>
    <row r="76">
      <c r="F76" s="5" t="n"/>
    </row>
    <row r="77">
      <c r="F77" s="5" t="n"/>
    </row>
    <row r="78">
      <c r="F78" s="5" t="n"/>
    </row>
    <row r="79">
      <c r="F79" s="5" t="n"/>
    </row>
    <row r="80">
      <c r="F80" s="5" t="n"/>
    </row>
    <row r="81">
      <c r="F81" s="5" t="n"/>
    </row>
    <row r="82">
      <c r="F82" s="5" t="n"/>
    </row>
    <row r="83">
      <c r="F83" s="5" t="n"/>
    </row>
    <row r="84">
      <c r="F84" s="5" t="n"/>
    </row>
    <row r="85">
      <c r="F85" s="5" t="n"/>
    </row>
    <row r="86">
      <c r="F86" s="5" t="n"/>
    </row>
    <row r="87">
      <c r="F87" s="5" t="n"/>
    </row>
    <row r="88">
      <c r="F88" s="5" t="n"/>
    </row>
    <row r="89">
      <c r="F89" s="5" t="n"/>
    </row>
    <row r="90">
      <c r="F90" s="5" t="n"/>
    </row>
    <row r="91">
      <c r="F91" s="5" t="n"/>
    </row>
    <row r="92">
      <c r="F92" s="5" t="n"/>
    </row>
    <row r="93">
      <c r="F93" s="5" t="n"/>
    </row>
    <row r="94">
      <c r="F94" s="5" t="n"/>
    </row>
    <row r="95">
      <c r="F95" s="5" t="n"/>
    </row>
    <row r="96">
      <c r="F96" s="5" t="n"/>
    </row>
    <row r="97">
      <c r="F97" s="5" t="n"/>
    </row>
    <row r="98">
      <c r="F98" s="5" t="n"/>
    </row>
    <row r="99">
      <c r="F99" s="5" t="n"/>
    </row>
    <row r="100">
      <c r="F100" s="5" t="n"/>
    </row>
    <row r="101">
      <c r="F101" s="5" t="n"/>
    </row>
    <row r="102">
      <c r="F102" s="5" t="n"/>
    </row>
    <row r="103">
      <c r="F103" s="5" t="n"/>
    </row>
    <row r="104">
      <c r="F104" s="5" t="n"/>
    </row>
    <row r="105">
      <c r="F105" s="5" t="n"/>
    </row>
    <row r="106">
      <c r="F106" s="5" t="n"/>
    </row>
    <row r="107">
      <c r="F107" s="5" t="n"/>
    </row>
    <row r="108">
      <c r="F108" s="5" t="n"/>
    </row>
    <row r="109">
      <c r="F109" s="5" t="n"/>
    </row>
    <row r="110">
      <c r="F110" s="5" t="n"/>
    </row>
    <row r="111">
      <c r="F111" s="5" t="n"/>
    </row>
    <row r="112">
      <c r="F112" s="5" t="n"/>
    </row>
    <row r="113">
      <c r="F113" s="5" t="n"/>
    </row>
    <row r="114">
      <c r="F114" s="5" t="n"/>
    </row>
    <row r="115">
      <c r="F115" s="5" t="n"/>
    </row>
    <row r="116">
      <c r="F116" s="5" t="n"/>
    </row>
    <row r="117">
      <c r="F117" s="5" t="n"/>
    </row>
    <row r="118">
      <c r="F118" s="5" t="n"/>
    </row>
    <row r="119">
      <c r="F119" s="5" t="n"/>
    </row>
    <row r="120">
      <c r="F120" s="5" t="n"/>
    </row>
    <row r="121">
      <c r="F121" s="5" t="n"/>
    </row>
    <row r="122">
      <c r="F122" s="5" t="n"/>
    </row>
    <row r="123">
      <c r="F123" s="5" t="n"/>
    </row>
    <row r="124">
      <c r="F124" s="5" t="n"/>
    </row>
    <row r="125">
      <c r="F125" s="5" t="n"/>
    </row>
    <row r="126">
      <c r="F126" s="5" t="n"/>
    </row>
    <row r="127">
      <c r="F127" s="5" t="n"/>
    </row>
    <row r="128">
      <c r="F128" s="5" t="n"/>
    </row>
    <row r="129">
      <c r="F129" s="5" t="n"/>
    </row>
    <row r="130">
      <c r="F130" s="5" t="n"/>
    </row>
    <row r="131">
      <c r="F131" s="5" t="n"/>
    </row>
    <row r="132">
      <c r="F132" s="5" t="n"/>
    </row>
    <row r="133">
      <c r="F133" s="5" t="n"/>
    </row>
    <row r="134">
      <c r="F134" s="5" t="n"/>
    </row>
    <row r="135">
      <c r="F135" s="5" t="n"/>
    </row>
    <row r="136">
      <c r="F136" s="5" t="n"/>
    </row>
    <row r="137">
      <c r="F137" s="5" t="n"/>
    </row>
    <row r="138">
      <c r="F138" s="5" t="n"/>
    </row>
    <row r="139">
      <c r="F139" s="5" t="n"/>
    </row>
    <row r="140">
      <c r="F140" s="5" t="n"/>
    </row>
    <row r="141">
      <c r="F141" s="5" t="n"/>
    </row>
    <row r="142">
      <c r="F142" s="5" t="n"/>
    </row>
    <row r="143">
      <c r="F143" s="5" t="n"/>
    </row>
    <row r="144">
      <c r="F144" s="5" t="n"/>
    </row>
    <row r="145">
      <c r="F145" s="5" t="n"/>
    </row>
    <row r="146">
      <c r="F146" s="5" t="n"/>
    </row>
    <row r="147">
      <c r="F147" s="5" t="n"/>
    </row>
    <row r="148">
      <c r="F148" s="5" t="n"/>
    </row>
    <row r="149">
      <c r="F149" s="5" t="n"/>
    </row>
    <row r="150">
      <c r="F150" s="5" t="n"/>
    </row>
    <row r="151">
      <c r="F151" s="5" t="n"/>
    </row>
    <row r="152">
      <c r="F152" s="5" t="n"/>
    </row>
    <row r="153">
      <c r="F153" s="5" t="n"/>
    </row>
    <row r="154">
      <c r="F154" s="5" t="n"/>
    </row>
    <row r="155">
      <c r="F155" s="5" t="n"/>
    </row>
    <row r="156">
      <c r="F156" s="5" t="n"/>
    </row>
    <row r="157">
      <c r="F157" s="5" t="n"/>
    </row>
    <row r="158">
      <c r="F158" s="5" t="n"/>
    </row>
    <row r="159">
      <c r="F159" s="5" t="n"/>
    </row>
    <row r="160">
      <c r="F160" s="5" t="n"/>
    </row>
    <row r="161">
      <c r="F161" s="5" t="n"/>
    </row>
    <row r="162">
      <c r="F162" s="5" t="n"/>
    </row>
    <row r="163">
      <c r="F163" s="5" t="n"/>
    </row>
    <row r="164">
      <c r="F164" s="5" t="n"/>
    </row>
    <row r="165">
      <c r="F165" s="5" t="n"/>
    </row>
    <row r="166">
      <c r="F166" s="5" t="n"/>
    </row>
    <row r="167">
      <c r="F167" s="5" t="n"/>
    </row>
    <row r="168">
      <c r="F168" s="5" t="n"/>
    </row>
    <row r="169">
      <c r="F169" s="5" t="n"/>
    </row>
    <row r="170">
      <c r="F170" s="5" t="n"/>
    </row>
    <row r="171">
      <c r="F171" s="5" t="n"/>
    </row>
    <row r="172">
      <c r="F172" s="5" t="n"/>
    </row>
    <row r="173">
      <c r="F173" s="5" t="n"/>
    </row>
    <row r="174">
      <c r="F174" s="5" t="n"/>
    </row>
    <row r="175">
      <c r="F175" s="5" t="n"/>
    </row>
    <row r="176">
      <c r="F176" s="5" t="n"/>
    </row>
    <row r="177">
      <c r="F177" s="5" t="n"/>
    </row>
    <row r="178">
      <c r="F178" s="5" t="n"/>
    </row>
    <row r="179">
      <c r="F179" s="5" t="n"/>
    </row>
    <row r="180">
      <c r="F180" s="5" t="n"/>
    </row>
    <row r="181">
      <c r="F181" s="5" t="n"/>
    </row>
    <row r="182">
      <c r="F182" s="5" t="n"/>
    </row>
    <row r="183">
      <c r="F183" s="5" t="n"/>
    </row>
    <row r="184">
      <c r="F184" s="5" t="n"/>
    </row>
    <row r="185">
      <c r="F185" s="5" t="n"/>
    </row>
    <row r="186">
      <c r="F186" s="5" t="n"/>
    </row>
    <row r="187">
      <c r="F187" s="5" t="n"/>
    </row>
    <row r="188">
      <c r="F188" s="5" t="n"/>
    </row>
    <row r="189">
      <c r="F189" s="5" t="n"/>
    </row>
    <row r="190">
      <c r="F190" s="5" t="n"/>
    </row>
    <row r="191">
      <c r="F191" s="5" t="n"/>
    </row>
    <row r="192">
      <c r="F192" s="5" t="n"/>
    </row>
    <row r="193">
      <c r="F193" s="5" t="n"/>
    </row>
    <row r="194">
      <c r="F194" s="5" t="n"/>
    </row>
    <row r="195">
      <c r="F195" s="5" t="n"/>
    </row>
    <row r="196">
      <c r="F196" s="5" t="n"/>
    </row>
    <row r="197">
      <c r="F197" s="5" t="n"/>
    </row>
    <row r="198">
      <c r="F198" s="5" t="n"/>
    </row>
    <row r="199">
      <c r="F199" s="5" t="n"/>
    </row>
    <row r="200">
      <c r="F200" s="5" t="n"/>
    </row>
    <row r="201">
      <c r="F201" s="5" t="n"/>
    </row>
    <row r="202">
      <c r="F202" s="5" t="n"/>
    </row>
    <row r="203">
      <c r="F203" s="5" t="n"/>
    </row>
    <row r="204">
      <c r="F204" s="5" t="n"/>
    </row>
    <row r="205">
      <c r="F205" s="5" t="n"/>
    </row>
    <row r="206">
      <c r="F206" s="5" t="n"/>
    </row>
    <row r="207">
      <c r="F207" s="5" t="n"/>
    </row>
    <row r="208">
      <c r="F208" s="5" t="n"/>
    </row>
    <row r="209">
      <c r="F209" s="5" t="n"/>
    </row>
    <row r="210">
      <c r="F210" s="5" t="n"/>
    </row>
    <row r="211">
      <c r="F211" s="5" t="n"/>
    </row>
    <row r="212">
      <c r="F212" s="5" t="n"/>
    </row>
    <row r="213">
      <c r="F213" s="5" t="n"/>
    </row>
    <row r="214">
      <c r="F214" s="5" t="n"/>
    </row>
    <row r="215">
      <c r="F215" s="5" t="n"/>
    </row>
    <row r="216">
      <c r="F216" s="5" t="n"/>
    </row>
    <row r="217">
      <c r="F217" s="5" t="n"/>
    </row>
    <row r="218">
      <c r="F218" s="5" t="n"/>
    </row>
    <row r="219">
      <c r="F219" s="5" t="n"/>
    </row>
    <row r="220">
      <c r="F220" s="5" t="n"/>
    </row>
    <row r="221">
      <c r="F221" s="5" t="n"/>
    </row>
    <row r="222">
      <c r="F222" s="5" t="n"/>
    </row>
    <row r="223">
      <c r="F223" s="5" t="n"/>
    </row>
    <row r="224">
      <c r="F224" s="5" t="n"/>
    </row>
    <row r="225">
      <c r="F225" s="5" t="n"/>
    </row>
    <row r="226">
      <c r="F226" s="5" t="n"/>
    </row>
    <row r="227">
      <c r="F227" s="5" t="n"/>
    </row>
    <row r="228">
      <c r="F228" s="5" t="n"/>
    </row>
    <row r="229">
      <c r="F229" s="5" t="n"/>
    </row>
    <row r="230">
      <c r="F230" s="5" t="n"/>
    </row>
    <row r="231">
      <c r="F231" s="5" t="n"/>
    </row>
    <row r="232">
      <c r="F232" s="5" t="n"/>
    </row>
    <row r="233">
      <c r="F233" s="5" t="n"/>
    </row>
    <row r="234">
      <c r="F234" s="5" t="n"/>
    </row>
    <row r="235">
      <c r="F235" s="5" t="n"/>
    </row>
    <row r="236">
      <c r="F236" s="5" t="n"/>
    </row>
    <row r="237">
      <c r="F237" s="5" t="n"/>
    </row>
    <row r="238">
      <c r="F238" s="5" t="n"/>
    </row>
    <row r="239">
      <c r="F239" s="5" t="n"/>
    </row>
    <row r="240">
      <c r="F240" s="5" t="n"/>
    </row>
    <row r="241">
      <c r="F241" s="5" t="n"/>
    </row>
    <row r="242">
      <c r="F242" s="5" t="n"/>
    </row>
    <row r="243">
      <c r="F243" s="5" t="n"/>
    </row>
    <row r="244">
      <c r="F244" s="5" t="n"/>
    </row>
    <row r="245">
      <c r="F245" s="5" t="n"/>
    </row>
    <row r="246">
      <c r="F246" s="5" t="n"/>
    </row>
    <row r="247">
      <c r="F247" s="5" t="n"/>
    </row>
    <row r="248">
      <c r="F248" s="5" t="n"/>
    </row>
    <row r="249">
      <c r="F249" s="5" t="n"/>
    </row>
    <row r="250">
      <c r="F250" s="5" t="n"/>
    </row>
    <row r="251">
      <c r="F251" s="5" t="n"/>
    </row>
    <row r="252">
      <c r="F252" s="5" t="n"/>
    </row>
    <row r="253">
      <c r="F253" s="5" t="n"/>
    </row>
    <row r="254">
      <c r="F254" s="5" t="n"/>
    </row>
    <row r="255">
      <c r="F255" s="5" t="n"/>
    </row>
    <row r="256">
      <c r="F256" s="5" t="n"/>
    </row>
    <row r="257">
      <c r="F257" s="5" t="n"/>
    </row>
    <row r="258">
      <c r="F258" s="5" t="n"/>
    </row>
    <row r="259">
      <c r="F259" s="5" t="n"/>
    </row>
    <row r="260">
      <c r="F260" s="5" t="n"/>
    </row>
    <row r="261">
      <c r="F261" s="5" t="n"/>
    </row>
    <row r="262">
      <c r="F262" s="5" t="n"/>
    </row>
    <row r="263">
      <c r="F263" s="5" t="n"/>
    </row>
    <row r="264">
      <c r="F264" s="5" t="n"/>
    </row>
    <row r="265">
      <c r="F265" s="5" t="n"/>
    </row>
    <row r="266">
      <c r="F266" s="5" t="n"/>
    </row>
    <row r="267">
      <c r="F267" s="5" t="n"/>
    </row>
    <row r="268">
      <c r="F268" s="5" t="n"/>
    </row>
    <row r="269">
      <c r="F269" s="5" t="n"/>
    </row>
    <row r="270">
      <c r="F270" s="5" t="n"/>
    </row>
    <row r="271">
      <c r="F271" s="5" t="n"/>
    </row>
    <row r="272">
      <c r="F272" s="5" t="n"/>
    </row>
    <row r="273">
      <c r="F273" s="5" t="n"/>
    </row>
    <row r="274">
      <c r="F274" s="5" t="n"/>
    </row>
    <row r="275">
      <c r="F275" s="5" t="n"/>
    </row>
    <row r="276">
      <c r="F276" s="5" t="n"/>
    </row>
    <row r="277">
      <c r="F277" s="5" t="n"/>
    </row>
    <row r="278">
      <c r="F278" s="5" t="n"/>
    </row>
    <row r="279">
      <c r="F279" s="5" t="n"/>
    </row>
    <row r="280">
      <c r="F280" s="5" t="n"/>
    </row>
    <row r="281"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>
      <c r="F297" s="5" t="n"/>
    </row>
    <row r="298">
      <c r="F298" s="5" t="n"/>
    </row>
    <row r="299">
      <c r="F299" s="5" t="n"/>
    </row>
    <row r="300">
      <c r="F300" s="5" t="n"/>
    </row>
    <row r="301">
      <c r="F301" s="5" t="n"/>
    </row>
    <row r="302">
      <c r="F302" s="5" t="n"/>
    </row>
    <row r="303">
      <c r="F303" s="5" t="n"/>
    </row>
    <row r="304">
      <c r="F304" s="5" t="n"/>
    </row>
    <row r="305">
      <c r="F305" s="5" t="n"/>
    </row>
    <row r="306">
      <c r="F306" s="5" t="n"/>
    </row>
    <row r="307">
      <c r="F307" s="5" t="n"/>
    </row>
    <row r="308">
      <c r="F308" s="5" t="n"/>
    </row>
    <row r="309">
      <c r="F309" s="5" t="n"/>
    </row>
    <row r="310">
      <c r="F310" s="5" t="n"/>
    </row>
    <row r="311">
      <c r="F311" s="5" t="n"/>
    </row>
    <row r="312">
      <c r="F312" s="5" t="n"/>
    </row>
    <row r="313">
      <c r="F313" s="5" t="n"/>
    </row>
    <row r="314">
      <c r="F314" s="5" t="n"/>
    </row>
    <row r="315">
      <c r="F315" s="5" t="n"/>
    </row>
    <row r="316">
      <c r="F316" s="5" t="n"/>
    </row>
    <row r="317">
      <c r="F317" s="5" t="n"/>
    </row>
    <row r="318">
      <c r="F318" s="5" t="n"/>
    </row>
    <row r="319">
      <c r="F319" s="5" t="n"/>
    </row>
    <row r="320">
      <c r="F320" s="5" t="n"/>
    </row>
    <row r="321">
      <c r="F321" s="5" t="n"/>
    </row>
    <row r="322">
      <c r="F322" s="5" t="n"/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5" t="n"/>
    </row>
    <row r="354">
      <c r="F354" s="5" t="n"/>
    </row>
    <row r="355">
      <c r="F355" s="5" t="n"/>
    </row>
    <row r="356">
      <c r="F356" s="5" t="n"/>
    </row>
    <row r="357">
      <c r="F357" s="5" t="n"/>
    </row>
    <row r="358">
      <c r="F358" s="5" t="n"/>
    </row>
    <row r="359">
      <c r="F359" s="5" t="n"/>
    </row>
    <row r="360">
      <c r="F360" s="5" t="n"/>
    </row>
    <row r="361">
      <c r="F361" s="5" t="n"/>
    </row>
    <row r="362">
      <c r="F362" s="5" t="n"/>
    </row>
    <row r="363">
      <c r="F363" s="5" t="n"/>
    </row>
    <row r="364">
      <c r="F364" s="5" t="n"/>
    </row>
    <row r="365">
      <c r="F365" s="5" t="n"/>
    </row>
    <row r="366">
      <c r="F366" s="5" t="n"/>
    </row>
    <row r="367">
      <c r="F367" s="5" t="n"/>
    </row>
    <row r="368">
      <c r="F368" s="5" t="n"/>
    </row>
    <row r="369">
      <c r="F369" s="5" t="n"/>
    </row>
    <row r="370">
      <c r="F370" s="5" t="n"/>
    </row>
    <row r="371">
      <c r="F371" s="5" t="n"/>
    </row>
    <row r="372">
      <c r="F372" s="5" t="n"/>
    </row>
    <row r="373">
      <c r="F373" s="5" t="n"/>
    </row>
    <row r="374">
      <c r="F374" s="5" t="n"/>
    </row>
    <row r="375">
      <c r="F375" s="5" t="n"/>
    </row>
    <row r="376">
      <c r="F376" s="5" t="n"/>
    </row>
    <row r="377">
      <c r="F377" s="5" t="n"/>
    </row>
    <row r="378">
      <c r="F378" s="5" t="n"/>
    </row>
    <row r="379">
      <c r="F379" s="5" t="n"/>
    </row>
    <row r="380">
      <c r="F380" s="5" t="n"/>
    </row>
    <row r="381">
      <c r="F381" s="5" t="n"/>
    </row>
    <row r="382">
      <c r="F382" s="5" t="n"/>
    </row>
    <row r="383">
      <c r="F383" s="5" t="n"/>
    </row>
    <row r="384">
      <c r="F384" s="5" t="n"/>
    </row>
    <row r="385">
      <c r="F385" s="5" t="n"/>
    </row>
    <row r="386">
      <c r="F386" s="5" t="n"/>
    </row>
    <row r="387">
      <c r="F387" s="5" t="n"/>
    </row>
    <row r="388">
      <c r="F388" s="5" t="n"/>
    </row>
    <row r="389">
      <c r="F389" s="5" t="n"/>
    </row>
    <row r="390">
      <c r="F390" s="5" t="n"/>
    </row>
    <row r="391">
      <c r="F391" s="5" t="n"/>
    </row>
    <row r="392">
      <c r="F392" s="5" t="n"/>
    </row>
    <row r="393">
      <c r="F393" s="5" t="n"/>
    </row>
    <row r="394">
      <c r="F394" s="5" t="n"/>
    </row>
    <row r="395">
      <c r="F395" s="5" t="n"/>
    </row>
    <row r="396">
      <c r="F396" s="5" t="n"/>
    </row>
    <row r="397">
      <c r="F397" s="5" t="n"/>
    </row>
    <row r="398">
      <c r="F398" s="5" t="n"/>
    </row>
    <row r="399">
      <c r="F399" s="5" t="n"/>
    </row>
    <row r="400">
      <c r="F400" s="5" t="n"/>
    </row>
    <row r="401">
      <c r="F401" s="5" t="n"/>
    </row>
    <row r="402">
      <c r="F402" s="5" t="n"/>
    </row>
    <row r="403">
      <c r="F403" s="5" t="n"/>
    </row>
    <row r="404">
      <c r="F404" s="5" t="n"/>
    </row>
    <row r="405">
      <c r="F405" s="5" t="n"/>
    </row>
    <row r="406">
      <c r="F406" s="5" t="n"/>
    </row>
    <row r="407">
      <c r="F407" s="5" t="n"/>
    </row>
    <row r="408">
      <c r="F408" s="5" t="n"/>
    </row>
    <row r="409">
      <c r="F409" s="5" t="n"/>
    </row>
    <row r="410">
      <c r="F410" s="5" t="n"/>
    </row>
    <row r="411">
      <c r="F411" s="5" t="n"/>
    </row>
    <row r="412">
      <c r="F412" s="5" t="n"/>
    </row>
    <row r="413">
      <c r="F413" s="5" t="n"/>
    </row>
    <row r="414">
      <c r="F414" s="5" t="n"/>
    </row>
    <row r="415">
      <c r="F415" s="5" t="n"/>
    </row>
    <row r="416">
      <c r="F416" s="5" t="n"/>
    </row>
    <row r="417">
      <c r="F417" s="5" t="n"/>
    </row>
    <row r="418">
      <c r="F418" s="5" t="n"/>
    </row>
    <row r="419">
      <c r="F419" s="5" t="n"/>
    </row>
    <row r="420">
      <c r="F420" s="5" t="n"/>
    </row>
    <row r="421">
      <c r="F421" s="5" t="n"/>
    </row>
    <row r="422">
      <c r="F422" s="5" t="n"/>
    </row>
    <row r="423">
      <c r="F423" s="5" t="n"/>
    </row>
    <row r="424">
      <c r="F424" s="5" t="n"/>
    </row>
    <row r="425">
      <c r="F425" s="5" t="n"/>
    </row>
    <row r="426">
      <c r="F426" s="5" t="n"/>
    </row>
    <row r="427">
      <c r="F427" s="5" t="n"/>
    </row>
    <row r="428">
      <c r="F428" s="5" t="n"/>
    </row>
    <row r="429">
      <c r="F429" s="5" t="n"/>
    </row>
    <row r="430">
      <c r="F430" s="5" t="n"/>
    </row>
    <row r="431">
      <c r="F431" s="5" t="n"/>
    </row>
    <row r="432">
      <c r="F432" s="5" t="n"/>
    </row>
    <row r="433">
      <c r="F433" s="5" t="n"/>
    </row>
    <row r="434">
      <c r="F434" s="5" t="n"/>
    </row>
    <row r="435">
      <c r="F435" s="5" t="n"/>
    </row>
    <row r="436">
      <c r="F436" s="5" t="n"/>
    </row>
    <row r="437">
      <c r="F437" s="5" t="n"/>
    </row>
    <row r="438">
      <c r="F438" s="5" t="n"/>
    </row>
    <row r="439">
      <c r="F439" s="5" t="n"/>
    </row>
    <row r="440">
      <c r="F440" s="5" t="n"/>
    </row>
    <row r="441">
      <c r="F441" s="5" t="n"/>
    </row>
    <row r="442">
      <c r="F442" s="5" t="n"/>
    </row>
    <row r="443">
      <c r="F443" s="5" t="n"/>
    </row>
    <row r="444">
      <c r="F444" s="5" t="n"/>
    </row>
    <row r="445">
      <c r="F445" s="5" t="n"/>
    </row>
    <row r="446">
      <c r="F446" s="5" t="n"/>
    </row>
    <row r="447">
      <c r="F447" s="5" t="n"/>
    </row>
    <row r="448">
      <c r="F448" s="5" t="n"/>
    </row>
    <row r="449">
      <c r="F449" s="5" t="n"/>
    </row>
    <row r="450">
      <c r="F450" s="5" t="n"/>
    </row>
    <row r="451">
      <c r="F451" s="5" t="n"/>
    </row>
    <row r="452">
      <c r="F452" s="5" t="n"/>
    </row>
    <row r="453">
      <c r="F453" s="5" t="n"/>
    </row>
    <row r="454">
      <c r="F454" s="5" t="n"/>
    </row>
    <row r="455">
      <c r="F455" s="5" t="n"/>
    </row>
    <row r="456">
      <c r="F456" s="5" t="n"/>
    </row>
    <row r="457">
      <c r="F457" s="5" t="n"/>
    </row>
    <row r="458">
      <c r="F458" s="5" t="n"/>
    </row>
    <row r="459">
      <c r="F459" s="5" t="n"/>
    </row>
    <row r="460">
      <c r="F460" s="5" t="n"/>
    </row>
    <row r="461">
      <c r="F461" s="5" t="n"/>
    </row>
    <row r="462">
      <c r="F462" s="5" t="n"/>
    </row>
    <row r="463">
      <c r="F463" s="5" t="n"/>
    </row>
    <row r="464">
      <c r="F464" s="5" t="n"/>
    </row>
    <row r="465">
      <c r="F465" s="5" t="n"/>
    </row>
    <row r="466">
      <c r="F466" s="5" t="n"/>
    </row>
    <row r="467">
      <c r="F467" s="5" t="n"/>
    </row>
    <row r="468">
      <c r="F468" s="5" t="n"/>
    </row>
    <row r="469">
      <c r="F469" s="5" t="n"/>
    </row>
    <row r="470">
      <c r="F470" s="5" t="n"/>
    </row>
    <row r="471">
      <c r="F471" s="5" t="n"/>
    </row>
    <row r="472">
      <c r="F472" s="5" t="n"/>
    </row>
    <row r="473">
      <c r="F473" s="5" t="n"/>
    </row>
    <row r="474">
      <c r="F474" s="5" t="n"/>
    </row>
    <row r="475">
      <c r="F475" s="5" t="n"/>
    </row>
    <row r="476">
      <c r="F476" s="5" t="n"/>
    </row>
    <row r="477">
      <c r="F477" s="5" t="n"/>
    </row>
    <row r="478">
      <c r="F478" s="5" t="n"/>
    </row>
    <row r="479">
      <c r="F479" s="5" t="n"/>
    </row>
    <row r="480">
      <c r="F480" s="5" t="n"/>
    </row>
    <row r="481">
      <c r="F481" s="5" t="n"/>
    </row>
    <row r="482">
      <c r="F482" s="5" t="n"/>
    </row>
    <row r="483">
      <c r="F483" s="5" t="n"/>
    </row>
    <row r="484">
      <c r="F484" s="5" t="n"/>
    </row>
    <row r="485">
      <c r="F485" s="5" t="n"/>
    </row>
    <row r="486">
      <c r="F486" s="5" t="n"/>
    </row>
    <row r="487">
      <c r="F487" s="5" t="n"/>
    </row>
    <row r="488">
      <c r="F488" s="5" t="n"/>
    </row>
    <row r="489">
      <c r="F489" s="5" t="n"/>
    </row>
    <row r="490">
      <c r="F490" s="5" t="n"/>
    </row>
    <row r="491">
      <c r="F491" s="5" t="n"/>
    </row>
    <row r="492">
      <c r="F492" s="5" t="n"/>
    </row>
    <row r="493">
      <c r="F493" s="5" t="n"/>
    </row>
    <row r="494">
      <c r="F494" s="5" t="n"/>
    </row>
    <row r="495">
      <c r="F495" s="5" t="n"/>
    </row>
    <row r="496">
      <c r="F496" s="5" t="n"/>
    </row>
    <row r="497">
      <c r="F497" s="5" t="n"/>
    </row>
    <row r="498">
      <c r="F498" s="5" t="n"/>
    </row>
    <row r="499">
      <c r="F499" s="5" t="n"/>
    </row>
    <row r="500">
      <c r="F5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7" customWidth="1" min="4" max="4"/>
    <col width="10" customWidth="1" min="5" max="5"/>
    <col width="20" customWidth="1" min="6" max="6"/>
    <col width="16" customWidth="1" min="7" max="7"/>
    <col width="13" customWidth="1" min="8" max="8"/>
    <col width="16" customWidth="1" min="9" max="9"/>
    <col width="17" customWidth="1" min="10" max="10"/>
    <col width="27" customWidth="1" min="11" max="11"/>
  </cols>
  <sheetData>
    <row r="1" ht="22" customHeight="1">
      <c r="A1" s="4" t="inlineStr">
        <is>
          <t>EvidenceID</t>
        </is>
      </c>
      <c r="B1" s="4" t="inlineStr">
        <is>
          <t>MeetingID</t>
        </is>
      </c>
      <c r="C1" s="4" t="inlineStr">
        <is>
          <t>Speaker</t>
        </is>
      </c>
      <c r="D1" s="4" t="inlineStr">
        <is>
          <t>TimestampApprox</t>
        </is>
      </c>
      <c r="E1" s="4" t="inlineStr">
        <is>
          <t>Snippet</t>
        </is>
      </c>
      <c r="F1" s="4" t="inlineStr">
        <is>
          <t>ExtractedFieldName</t>
        </is>
      </c>
      <c r="G1" s="4" t="inlineStr">
        <is>
          <t>ExtractedValue</t>
        </is>
      </c>
      <c r="H1" s="4" t="inlineStr">
        <is>
          <t>TargetTable</t>
        </is>
      </c>
      <c r="I1" s="4" t="inlineStr">
        <is>
          <t>TargetRecordID</t>
        </is>
      </c>
      <c r="J1" s="4" t="inlineStr">
        <is>
          <t>Confidence(0-1)</t>
        </is>
      </c>
      <c r="K1" s="4" t="inlineStr">
        <is>
          <t>NeedsConfirmation(Yes/No)</t>
        </is>
      </c>
    </row>
    <row r="2">
      <c r="J2" s="8" t="n"/>
    </row>
    <row r="3">
      <c r="J3" s="8" t="n"/>
    </row>
    <row r="4">
      <c r="J4" s="8" t="n"/>
    </row>
    <row r="5">
      <c r="J5" s="8" t="n"/>
    </row>
    <row r="6">
      <c r="J6" s="8" t="n"/>
    </row>
    <row r="7">
      <c r="J7" s="8" t="n"/>
    </row>
    <row r="8">
      <c r="J8" s="8" t="n"/>
    </row>
    <row r="9">
      <c r="J9" s="8" t="n"/>
    </row>
    <row r="10">
      <c r="J10" s="8" t="n"/>
    </row>
    <row r="11">
      <c r="J11" s="8" t="n"/>
    </row>
    <row r="12">
      <c r="J12" s="8" t="n"/>
    </row>
    <row r="13">
      <c r="J13" s="8" t="n"/>
    </row>
    <row r="14">
      <c r="J14" s="8" t="n"/>
    </row>
    <row r="15">
      <c r="J15" s="8" t="n"/>
    </row>
    <row r="16">
      <c r="J16" s="8" t="n"/>
    </row>
    <row r="17">
      <c r="J17" s="8" t="n"/>
    </row>
    <row r="18">
      <c r="J18" s="8" t="n"/>
    </row>
    <row r="19">
      <c r="J19" s="8" t="n"/>
    </row>
    <row r="20">
      <c r="J20" s="8" t="n"/>
    </row>
    <row r="21">
      <c r="J21" s="8" t="n"/>
    </row>
    <row r="22">
      <c r="J22" s="8" t="n"/>
    </row>
    <row r="23">
      <c r="J23" s="8" t="n"/>
    </row>
    <row r="24">
      <c r="J24" s="8" t="n"/>
    </row>
    <row r="25">
      <c r="J25" s="8" t="n"/>
    </row>
    <row r="26">
      <c r="J26" s="8" t="n"/>
    </row>
    <row r="27">
      <c r="J27" s="8" t="n"/>
    </row>
    <row r="28">
      <c r="J28" s="8" t="n"/>
    </row>
    <row r="29">
      <c r="J29" s="8" t="n"/>
    </row>
    <row r="30">
      <c r="J30" s="8" t="n"/>
    </row>
    <row r="31">
      <c r="J31" s="8" t="n"/>
    </row>
    <row r="32">
      <c r="J32" s="8" t="n"/>
    </row>
    <row r="33">
      <c r="J33" s="8" t="n"/>
    </row>
    <row r="34">
      <c r="J34" s="8" t="n"/>
    </row>
    <row r="35">
      <c r="J35" s="8" t="n"/>
    </row>
    <row r="36">
      <c r="J36" s="8" t="n"/>
    </row>
    <row r="37">
      <c r="J37" s="8" t="n"/>
    </row>
    <row r="38">
      <c r="J38" s="8" t="n"/>
    </row>
    <row r="39">
      <c r="J39" s="8" t="n"/>
    </row>
    <row r="40">
      <c r="J40" s="8" t="n"/>
    </row>
    <row r="41">
      <c r="J41" s="8" t="n"/>
    </row>
    <row r="42">
      <c r="J42" s="8" t="n"/>
    </row>
    <row r="43">
      <c r="J43" s="8" t="n"/>
    </row>
    <row r="44">
      <c r="J44" s="8" t="n"/>
    </row>
    <row r="45">
      <c r="J45" s="8" t="n"/>
    </row>
    <row r="46">
      <c r="J46" s="8" t="n"/>
    </row>
    <row r="47">
      <c r="J47" s="8" t="n"/>
    </row>
    <row r="48">
      <c r="J48" s="8" t="n"/>
    </row>
    <row r="49">
      <c r="J49" s="8" t="n"/>
    </row>
    <row r="50">
      <c r="J50" s="8" t="n"/>
    </row>
    <row r="51">
      <c r="J51" s="8" t="n"/>
    </row>
    <row r="52">
      <c r="J52" s="8" t="n"/>
    </row>
    <row r="53">
      <c r="J53" s="8" t="n"/>
    </row>
    <row r="54">
      <c r="J54" s="8" t="n"/>
    </row>
    <row r="55">
      <c r="J55" s="8" t="n"/>
    </row>
    <row r="56">
      <c r="J56" s="8" t="n"/>
    </row>
    <row r="57">
      <c r="J57" s="8" t="n"/>
    </row>
    <row r="58">
      <c r="J58" s="8" t="n"/>
    </row>
    <row r="59">
      <c r="J59" s="8" t="n"/>
    </row>
    <row r="60">
      <c r="J60" s="8" t="n"/>
    </row>
    <row r="61">
      <c r="J61" s="8" t="n"/>
    </row>
    <row r="62">
      <c r="J62" s="8" t="n"/>
    </row>
    <row r="63">
      <c r="J63" s="8" t="n"/>
    </row>
    <row r="64">
      <c r="J64" s="8" t="n"/>
    </row>
    <row r="65">
      <c r="J65" s="8" t="n"/>
    </row>
    <row r="66">
      <c r="J66" s="8" t="n"/>
    </row>
    <row r="67">
      <c r="J67" s="8" t="n"/>
    </row>
    <row r="68">
      <c r="J68" s="8" t="n"/>
    </row>
    <row r="69">
      <c r="J69" s="8" t="n"/>
    </row>
    <row r="70">
      <c r="J70" s="8" t="n"/>
    </row>
    <row r="71">
      <c r="J71" s="8" t="n"/>
    </row>
    <row r="72">
      <c r="J72" s="8" t="n"/>
    </row>
    <row r="73">
      <c r="J73" s="8" t="n"/>
    </row>
    <row r="74">
      <c r="J74" s="8" t="n"/>
    </row>
    <row r="75">
      <c r="J75" s="8" t="n"/>
    </row>
    <row r="76">
      <c r="J76" s="8" t="n"/>
    </row>
    <row r="77">
      <c r="J77" s="8" t="n"/>
    </row>
    <row r="78">
      <c r="J78" s="8" t="n"/>
    </row>
    <row r="79">
      <c r="J79" s="8" t="n"/>
    </row>
    <row r="80">
      <c r="J80" s="8" t="n"/>
    </row>
    <row r="81">
      <c r="J81" s="8" t="n"/>
    </row>
    <row r="82">
      <c r="J82" s="8" t="n"/>
    </row>
    <row r="83">
      <c r="J83" s="8" t="n"/>
    </row>
    <row r="84">
      <c r="J84" s="8" t="n"/>
    </row>
    <row r="85">
      <c r="J85" s="8" t="n"/>
    </row>
    <row r="86">
      <c r="J86" s="8" t="n"/>
    </row>
    <row r="87">
      <c r="J87" s="8" t="n"/>
    </row>
    <row r="88">
      <c r="J88" s="8" t="n"/>
    </row>
    <row r="89">
      <c r="J89" s="8" t="n"/>
    </row>
    <row r="90">
      <c r="J90" s="8" t="n"/>
    </row>
    <row r="91">
      <c r="J91" s="8" t="n"/>
    </row>
    <row r="92">
      <c r="J92" s="8" t="n"/>
    </row>
    <row r="93">
      <c r="J93" s="8" t="n"/>
    </row>
    <row r="94">
      <c r="J94" s="8" t="n"/>
    </row>
    <row r="95">
      <c r="J95" s="8" t="n"/>
    </row>
    <row r="96">
      <c r="J96" s="8" t="n"/>
    </row>
    <row r="97">
      <c r="J97" s="8" t="n"/>
    </row>
    <row r="98">
      <c r="J98" s="8" t="n"/>
    </row>
    <row r="99">
      <c r="J99" s="8" t="n"/>
    </row>
    <row r="100">
      <c r="J100" s="8" t="n"/>
    </row>
    <row r="101">
      <c r="J101" s="8" t="n"/>
    </row>
    <row r="102">
      <c r="J102" s="8" t="n"/>
    </row>
    <row r="103">
      <c r="J103" s="8" t="n"/>
    </row>
    <row r="104">
      <c r="J104" s="8" t="n"/>
    </row>
    <row r="105">
      <c r="J105" s="8" t="n"/>
    </row>
    <row r="106">
      <c r="J106" s="8" t="n"/>
    </row>
    <row r="107">
      <c r="J107" s="8" t="n"/>
    </row>
    <row r="108">
      <c r="J108" s="8" t="n"/>
    </row>
    <row r="109">
      <c r="J109" s="8" t="n"/>
    </row>
    <row r="110">
      <c r="J110" s="8" t="n"/>
    </row>
    <row r="111">
      <c r="J111" s="8" t="n"/>
    </row>
    <row r="112">
      <c r="J112" s="8" t="n"/>
    </row>
    <row r="113">
      <c r="J113" s="8" t="n"/>
    </row>
    <row r="114">
      <c r="J114" s="8" t="n"/>
    </row>
    <row r="115">
      <c r="J115" s="8" t="n"/>
    </row>
    <row r="116">
      <c r="J116" s="8" t="n"/>
    </row>
    <row r="117">
      <c r="J117" s="8" t="n"/>
    </row>
    <row r="118">
      <c r="J118" s="8" t="n"/>
    </row>
    <row r="119">
      <c r="J119" s="8" t="n"/>
    </row>
    <row r="120">
      <c r="J120" s="8" t="n"/>
    </row>
    <row r="121">
      <c r="J121" s="8" t="n"/>
    </row>
    <row r="122">
      <c r="J122" s="8" t="n"/>
    </row>
    <row r="123">
      <c r="J123" s="8" t="n"/>
    </row>
    <row r="124">
      <c r="J124" s="8" t="n"/>
    </row>
    <row r="125">
      <c r="J125" s="8" t="n"/>
    </row>
    <row r="126">
      <c r="J126" s="8" t="n"/>
    </row>
    <row r="127">
      <c r="J127" s="8" t="n"/>
    </row>
    <row r="128">
      <c r="J128" s="8" t="n"/>
    </row>
    <row r="129">
      <c r="J129" s="8" t="n"/>
    </row>
    <row r="130">
      <c r="J130" s="8" t="n"/>
    </row>
    <row r="131">
      <c r="J131" s="8" t="n"/>
    </row>
    <row r="132">
      <c r="J132" s="8" t="n"/>
    </row>
    <row r="133">
      <c r="J133" s="8" t="n"/>
    </row>
    <row r="134">
      <c r="J134" s="8" t="n"/>
    </row>
    <row r="135">
      <c r="J135" s="8" t="n"/>
    </row>
    <row r="136">
      <c r="J136" s="8" t="n"/>
    </row>
    <row r="137">
      <c r="J137" s="8" t="n"/>
    </row>
    <row r="138">
      <c r="J138" s="8" t="n"/>
    </row>
    <row r="139">
      <c r="J139" s="8" t="n"/>
    </row>
    <row r="140">
      <c r="J140" s="8" t="n"/>
    </row>
    <row r="141">
      <c r="J141" s="8" t="n"/>
    </row>
    <row r="142">
      <c r="J142" s="8" t="n"/>
    </row>
    <row r="143">
      <c r="J143" s="8" t="n"/>
    </row>
    <row r="144">
      <c r="J144" s="8" t="n"/>
    </row>
    <row r="145">
      <c r="J145" s="8" t="n"/>
    </row>
    <row r="146">
      <c r="J146" s="8" t="n"/>
    </row>
    <row r="147">
      <c r="J147" s="8" t="n"/>
    </row>
    <row r="148">
      <c r="J148" s="8" t="n"/>
    </row>
    <row r="149">
      <c r="J149" s="8" t="n"/>
    </row>
    <row r="150">
      <c r="J150" s="8" t="n"/>
    </row>
    <row r="151">
      <c r="J151" s="8" t="n"/>
    </row>
    <row r="152">
      <c r="J152" s="8" t="n"/>
    </row>
    <row r="153">
      <c r="J153" s="8" t="n"/>
    </row>
    <row r="154">
      <c r="J154" s="8" t="n"/>
    </row>
    <row r="155">
      <c r="J155" s="8" t="n"/>
    </row>
    <row r="156">
      <c r="J156" s="8" t="n"/>
    </row>
    <row r="157">
      <c r="J157" s="8" t="n"/>
    </row>
    <row r="158">
      <c r="J158" s="8" t="n"/>
    </row>
    <row r="159">
      <c r="J159" s="8" t="n"/>
    </row>
    <row r="160">
      <c r="J160" s="8" t="n"/>
    </row>
    <row r="161">
      <c r="J161" s="8" t="n"/>
    </row>
    <row r="162">
      <c r="J162" s="8" t="n"/>
    </row>
    <row r="163">
      <c r="J163" s="8" t="n"/>
    </row>
    <row r="164">
      <c r="J164" s="8" t="n"/>
    </row>
    <row r="165">
      <c r="J165" s="8" t="n"/>
    </row>
    <row r="166">
      <c r="J166" s="8" t="n"/>
    </row>
    <row r="167">
      <c r="J167" s="8" t="n"/>
    </row>
    <row r="168">
      <c r="J168" s="8" t="n"/>
    </row>
    <row r="169">
      <c r="J169" s="8" t="n"/>
    </row>
    <row r="170">
      <c r="J170" s="8" t="n"/>
    </row>
    <row r="171">
      <c r="J171" s="8" t="n"/>
    </row>
    <row r="172">
      <c r="J172" s="8" t="n"/>
    </row>
    <row r="173">
      <c r="J173" s="8" t="n"/>
    </row>
    <row r="174">
      <c r="J174" s="8" t="n"/>
    </row>
    <row r="175">
      <c r="J175" s="8" t="n"/>
    </row>
    <row r="176">
      <c r="J176" s="8" t="n"/>
    </row>
    <row r="177">
      <c r="J177" s="8" t="n"/>
    </row>
    <row r="178">
      <c r="J178" s="8" t="n"/>
    </row>
    <row r="179">
      <c r="J179" s="8" t="n"/>
    </row>
    <row r="180">
      <c r="J180" s="8" t="n"/>
    </row>
    <row r="181">
      <c r="J181" s="8" t="n"/>
    </row>
    <row r="182">
      <c r="J182" s="8" t="n"/>
    </row>
    <row r="183">
      <c r="J183" s="8" t="n"/>
    </row>
    <row r="184">
      <c r="J184" s="8" t="n"/>
    </row>
    <row r="185">
      <c r="J185" s="8" t="n"/>
    </row>
    <row r="186">
      <c r="J186" s="8" t="n"/>
    </row>
    <row r="187">
      <c r="J187" s="8" t="n"/>
    </row>
    <row r="188">
      <c r="J188" s="8" t="n"/>
    </row>
    <row r="189">
      <c r="J189" s="8" t="n"/>
    </row>
    <row r="190">
      <c r="J190" s="8" t="n"/>
    </row>
    <row r="191">
      <c r="J191" s="8" t="n"/>
    </row>
    <row r="192">
      <c r="J192" s="8" t="n"/>
    </row>
    <row r="193">
      <c r="J193" s="8" t="n"/>
    </row>
    <row r="194">
      <c r="J194" s="8" t="n"/>
    </row>
    <row r="195">
      <c r="J195" s="8" t="n"/>
    </row>
    <row r="196">
      <c r="J196" s="8" t="n"/>
    </row>
    <row r="197">
      <c r="J197" s="8" t="n"/>
    </row>
    <row r="198">
      <c r="J198" s="8" t="n"/>
    </row>
    <row r="199">
      <c r="J199" s="8" t="n"/>
    </row>
    <row r="200">
      <c r="J200" s="8" t="n"/>
    </row>
    <row r="201">
      <c r="J201" s="8" t="n"/>
    </row>
    <row r="202">
      <c r="J202" s="8" t="n"/>
    </row>
    <row r="203">
      <c r="J203" s="8" t="n"/>
    </row>
    <row r="204">
      <c r="J204" s="8" t="n"/>
    </row>
    <row r="205">
      <c r="J205" s="8" t="n"/>
    </row>
    <row r="206">
      <c r="J206" s="8" t="n"/>
    </row>
    <row r="207">
      <c r="J207" s="8" t="n"/>
    </row>
    <row r="208">
      <c r="J208" s="8" t="n"/>
    </row>
    <row r="209">
      <c r="J209" s="8" t="n"/>
    </row>
    <row r="210">
      <c r="J210" s="8" t="n"/>
    </row>
    <row r="211">
      <c r="J211" s="8" t="n"/>
    </row>
    <row r="212">
      <c r="J212" s="8" t="n"/>
    </row>
    <row r="213">
      <c r="J213" s="8" t="n"/>
    </row>
    <row r="214">
      <c r="J214" s="8" t="n"/>
    </row>
    <row r="215">
      <c r="J215" s="8" t="n"/>
    </row>
    <row r="216">
      <c r="J216" s="8" t="n"/>
    </row>
    <row r="217">
      <c r="J217" s="8" t="n"/>
    </row>
    <row r="218">
      <c r="J218" s="8" t="n"/>
    </row>
    <row r="219">
      <c r="J219" s="8" t="n"/>
    </row>
    <row r="220">
      <c r="J220" s="8" t="n"/>
    </row>
    <row r="221">
      <c r="J221" s="8" t="n"/>
    </row>
    <row r="222">
      <c r="J222" s="8" t="n"/>
    </row>
    <row r="223">
      <c r="J223" s="8" t="n"/>
    </row>
    <row r="224">
      <c r="J224" s="8" t="n"/>
    </row>
    <row r="225">
      <c r="J225" s="8" t="n"/>
    </row>
    <row r="226">
      <c r="J226" s="8" t="n"/>
    </row>
    <row r="227">
      <c r="J227" s="8" t="n"/>
    </row>
    <row r="228">
      <c r="J228" s="8" t="n"/>
    </row>
    <row r="229">
      <c r="J229" s="8" t="n"/>
    </row>
    <row r="230">
      <c r="J230" s="8" t="n"/>
    </row>
    <row r="231">
      <c r="J231" s="8" t="n"/>
    </row>
    <row r="232">
      <c r="J232" s="8" t="n"/>
    </row>
    <row r="233">
      <c r="J233" s="8" t="n"/>
    </row>
    <row r="234">
      <c r="J234" s="8" t="n"/>
    </row>
    <row r="235">
      <c r="J235" s="8" t="n"/>
    </row>
    <row r="236">
      <c r="J236" s="8" t="n"/>
    </row>
    <row r="237">
      <c r="J237" s="8" t="n"/>
    </row>
    <row r="238">
      <c r="J238" s="8" t="n"/>
    </row>
    <row r="239">
      <c r="J239" s="8" t="n"/>
    </row>
    <row r="240">
      <c r="J240" s="8" t="n"/>
    </row>
    <row r="241">
      <c r="J241" s="8" t="n"/>
    </row>
    <row r="242">
      <c r="J242" s="8" t="n"/>
    </row>
    <row r="243">
      <c r="J243" s="8" t="n"/>
    </row>
    <row r="244">
      <c r="J244" s="8" t="n"/>
    </row>
    <row r="245">
      <c r="J245" s="8" t="n"/>
    </row>
    <row r="246">
      <c r="J246" s="8" t="n"/>
    </row>
    <row r="247">
      <c r="J247" s="8" t="n"/>
    </row>
    <row r="248">
      <c r="J248" s="8" t="n"/>
    </row>
    <row r="249">
      <c r="J249" s="8" t="n"/>
    </row>
    <row r="250">
      <c r="J250" s="8" t="n"/>
    </row>
    <row r="251">
      <c r="J251" s="8" t="n"/>
    </row>
    <row r="252">
      <c r="J252" s="8" t="n"/>
    </row>
    <row r="253">
      <c r="J253" s="8" t="n"/>
    </row>
    <row r="254">
      <c r="J254" s="8" t="n"/>
    </row>
    <row r="255">
      <c r="J255" s="8" t="n"/>
    </row>
    <row r="256">
      <c r="J256" s="8" t="n"/>
    </row>
    <row r="257">
      <c r="J257" s="8" t="n"/>
    </row>
    <row r="258">
      <c r="J258" s="8" t="n"/>
    </row>
    <row r="259">
      <c r="J259" s="8" t="n"/>
    </row>
    <row r="260">
      <c r="J260" s="8" t="n"/>
    </row>
    <row r="261">
      <c r="J261" s="8" t="n"/>
    </row>
    <row r="262">
      <c r="J262" s="8" t="n"/>
    </row>
    <row r="263">
      <c r="J263" s="8" t="n"/>
    </row>
    <row r="264">
      <c r="J264" s="8" t="n"/>
    </row>
    <row r="265">
      <c r="J265" s="8" t="n"/>
    </row>
    <row r="266">
      <c r="J266" s="8" t="n"/>
    </row>
    <row r="267">
      <c r="J267" s="8" t="n"/>
    </row>
    <row r="268">
      <c r="J268" s="8" t="n"/>
    </row>
    <row r="269">
      <c r="J269" s="8" t="n"/>
    </row>
    <row r="270">
      <c r="J270" s="8" t="n"/>
    </row>
    <row r="271">
      <c r="J271" s="8" t="n"/>
    </row>
    <row r="272">
      <c r="J272" s="8" t="n"/>
    </row>
    <row r="273">
      <c r="J273" s="8" t="n"/>
    </row>
    <row r="274">
      <c r="J274" s="8" t="n"/>
    </row>
    <row r="275">
      <c r="J275" s="8" t="n"/>
    </row>
    <row r="276">
      <c r="J276" s="8" t="n"/>
    </row>
    <row r="277">
      <c r="J277" s="8" t="n"/>
    </row>
    <row r="278">
      <c r="J278" s="8" t="n"/>
    </row>
    <row r="279">
      <c r="J279" s="8" t="n"/>
    </row>
    <row r="280">
      <c r="J280" s="8" t="n"/>
    </row>
    <row r="281">
      <c r="J281" s="8" t="n"/>
    </row>
    <row r="282">
      <c r="J282" s="8" t="n"/>
    </row>
    <row r="283">
      <c r="J283" s="8" t="n"/>
    </row>
    <row r="284">
      <c r="J284" s="8" t="n"/>
    </row>
    <row r="285">
      <c r="J285" s="8" t="n"/>
    </row>
    <row r="286">
      <c r="J286" s="8" t="n"/>
    </row>
    <row r="287">
      <c r="J287" s="8" t="n"/>
    </row>
    <row r="288">
      <c r="J288" s="8" t="n"/>
    </row>
    <row r="289">
      <c r="J289" s="8" t="n"/>
    </row>
    <row r="290">
      <c r="J290" s="8" t="n"/>
    </row>
    <row r="291">
      <c r="J291" s="8" t="n"/>
    </row>
    <row r="292">
      <c r="J292" s="8" t="n"/>
    </row>
    <row r="293">
      <c r="J293" s="8" t="n"/>
    </row>
    <row r="294">
      <c r="J294" s="8" t="n"/>
    </row>
    <row r="295">
      <c r="J295" s="8" t="n"/>
    </row>
    <row r="296">
      <c r="J296" s="8" t="n"/>
    </row>
    <row r="297">
      <c r="J297" s="8" t="n"/>
    </row>
    <row r="298">
      <c r="J298" s="8" t="n"/>
    </row>
    <row r="299">
      <c r="J299" s="8" t="n"/>
    </row>
    <row r="300">
      <c r="J300" s="8" t="n"/>
    </row>
    <row r="301">
      <c r="J301" s="8" t="n"/>
    </row>
    <row r="302">
      <c r="J302" s="8" t="n"/>
    </row>
    <row r="303">
      <c r="J303" s="8" t="n"/>
    </row>
    <row r="304">
      <c r="J304" s="8" t="n"/>
    </row>
    <row r="305">
      <c r="J305" s="8" t="n"/>
    </row>
    <row r="306">
      <c r="J306" s="8" t="n"/>
    </row>
    <row r="307">
      <c r="J307" s="8" t="n"/>
    </row>
    <row r="308">
      <c r="J308" s="8" t="n"/>
    </row>
    <row r="309">
      <c r="J309" s="8" t="n"/>
    </row>
    <row r="310">
      <c r="J310" s="8" t="n"/>
    </row>
    <row r="311">
      <c r="J311" s="8" t="n"/>
    </row>
    <row r="312">
      <c r="J312" s="8" t="n"/>
    </row>
    <row r="313">
      <c r="J313" s="8" t="n"/>
    </row>
    <row r="314">
      <c r="J314" s="8" t="n"/>
    </row>
    <row r="315">
      <c r="J315" s="8" t="n"/>
    </row>
    <row r="316">
      <c r="J316" s="8" t="n"/>
    </row>
    <row r="317">
      <c r="J317" s="8" t="n"/>
    </row>
    <row r="318">
      <c r="J318" s="8" t="n"/>
    </row>
    <row r="319">
      <c r="J319" s="8" t="n"/>
    </row>
    <row r="320">
      <c r="J320" s="8" t="n"/>
    </row>
    <row r="321">
      <c r="J321" s="8" t="n"/>
    </row>
    <row r="322">
      <c r="J322" s="8" t="n"/>
    </row>
    <row r="323">
      <c r="J323" s="8" t="n"/>
    </row>
    <row r="324">
      <c r="J324" s="8" t="n"/>
    </row>
    <row r="325">
      <c r="J325" s="8" t="n"/>
    </row>
    <row r="326">
      <c r="J326" s="8" t="n"/>
    </row>
    <row r="327">
      <c r="J327" s="8" t="n"/>
    </row>
    <row r="328">
      <c r="J328" s="8" t="n"/>
    </row>
    <row r="329">
      <c r="J329" s="8" t="n"/>
    </row>
    <row r="330">
      <c r="J330" s="8" t="n"/>
    </row>
    <row r="331">
      <c r="J331" s="8" t="n"/>
    </row>
    <row r="332">
      <c r="J332" s="8" t="n"/>
    </row>
    <row r="333">
      <c r="J333" s="8" t="n"/>
    </row>
    <row r="334">
      <c r="J334" s="8" t="n"/>
    </row>
    <row r="335">
      <c r="J335" s="8" t="n"/>
    </row>
    <row r="336">
      <c r="J336" s="8" t="n"/>
    </row>
    <row r="337">
      <c r="J337" s="8" t="n"/>
    </row>
    <row r="338">
      <c r="J338" s="8" t="n"/>
    </row>
    <row r="339">
      <c r="J339" s="8" t="n"/>
    </row>
    <row r="340">
      <c r="J340" s="8" t="n"/>
    </row>
    <row r="341">
      <c r="J341" s="8" t="n"/>
    </row>
    <row r="342">
      <c r="J342" s="8" t="n"/>
    </row>
    <row r="343">
      <c r="J343" s="8" t="n"/>
    </row>
    <row r="344">
      <c r="J344" s="8" t="n"/>
    </row>
    <row r="345">
      <c r="J345" s="8" t="n"/>
    </row>
    <row r="346">
      <c r="J346" s="8" t="n"/>
    </row>
    <row r="347">
      <c r="J347" s="8" t="n"/>
    </row>
    <row r="348">
      <c r="J348" s="8" t="n"/>
    </row>
    <row r="349">
      <c r="J349" s="8" t="n"/>
    </row>
    <row r="350">
      <c r="J350" s="8" t="n"/>
    </row>
    <row r="351">
      <c r="J351" s="8" t="n"/>
    </row>
    <row r="352">
      <c r="J352" s="8" t="n"/>
    </row>
    <row r="353">
      <c r="J353" s="8" t="n"/>
    </row>
    <row r="354">
      <c r="J354" s="8" t="n"/>
    </row>
    <row r="355">
      <c r="J355" s="8" t="n"/>
    </row>
    <row r="356">
      <c r="J356" s="8" t="n"/>
    </row>
    <row r="357">
      <c r="J357" s="8" t="n"/>
    </row>
    <row r="358">
      <c r="J358" s="8" t="n"/>
    </row>
    <row r="359">
      <c r="J359" s="8" t="n"/>
    </row>
    <row r="360">
      <c r="J360" s="8" t="n"/>
    </row>
    <row r="361">
      <c r="J361" s="8" t="n"/>
    </row>
    <row r="362">
      <c r="J362" s="8" t="n"/>
    </row>
    <row r="363">
      <c r="J363" s="8" t="n"/>
    </row>
    <row r="364">
      <c r="J364" s="8" t="n"/>
    </row>
    <row r="365">
      <c r="J365" s="8" t="n"/>
    </row>
    <row r="366">
      <c r="J366" s="8" t="n"/>
    </row>
    <row r="367">
      <c r="J367" s="8" t="n"/>
    </row>
    <row r="368">
      <c r="J368" s="8" t="n"/>
    </row>
    <row r="369">
      <c r="J369" s="8" t="n"/>
    </row>
    <row r="370">
      <c r="J370" s="8" t="n"/>
    </row>
    <row r="371">
      <c r="J371" s="8" t="n"/>
    </row>
    <row r="372">
      <c r="J372" s="8" t="n"/>
    </row>
    <row r="373">
      <c r="J373" s="8" t="n"/>
    </row>
    <row r="374">
      <c r="J374" s="8" t="n"/>
    </row>
    <row r="375">
      <c r="J375" s="8" t="n"/>
    </row>
    <row r="376">
      <c r="J376" s="8" t="n"/>
    </row>
    <row r="377">
      <c r="J377" s="8" t="n"/>
    </row>
    <row r="378">
      <c r="J378" s="8" t="n"/>
    </row>
    <row r="379">
      <c r="J379" s="8" t="n"/>
    </row>
    <row r="380">
      <c r="J380" s="8" t="n"/>
    </row>
    <row r="381">
      <c r="J381" s="8" t="n"/>
    </row>
    <row r="382">
      <c r="J382" s="8" t="n"/>
    </row>
    <row r="383">
      <c r="J383" s="8" t="n"/>
    </row>
    <row r="384">
      <c r="J384" s="8" t="n"/>
    </row>
    <row r="385">
      <c r="J385" s="8" t="n"/>
    </row>
    <row r="386">
      <c r="J386" s="8" t="n"/>
    </row>
    <row r="387">
      <c r="J387" s="8" t="n"/>
    </row>
    <row r="388">
      <c r="J388" s="8" t="n"/>
    </row>
    <row r="389">
      <c r="J389" s="8" t="n"/>
    </row>
    <row r="390">
      <c r="J390" s="8" t="n"/>
    </row>
    <row r="391">
      <c r="J391" s="8" t="n"/>
    </row>
    <row r="392">
      <c r="J392" s="8" t="n"/>
    </row>
    <row r="393">
      <c r="J393" s="8" t="n"/>
    </row>
    <row r="394">
      <c r="J394" s="8" t="n"/>
    </row>
    <row r="395">
      <c r="J395" s="8" t="n"/>
    </row>
    <row r="396">
      <c r="J396" s="8" t="n"/>
    </row>
    <row r="397">
      <c r="J397" s="8" t="n"/>
    </row>
    <row r="398">
      <c r="J398" s="8" t="n"/>
    </row>
    <row r="399">
      <c r="J399" s="8" t="n"/>
    </row>
    <row r="400">
      <c r="J400" s="8" t="n"/>
    </row>
    <row r="401">
      <c r="J401" s="8" t="n"/>
    </row>
    <row r="402">
      <c r="J402" s="8" t="n"/>
    </row>
    <row r="403">
      <c r="J403" s="8" t="n"/>
    </row>
    <row r="404">
      <c r="J404" s="8" t="n"/>
    </row>
    <row r="405">
      <c r="J405" s="8" t="n"/>
    </row>
    <row r="406">
      <c r="J406" s="8" t="n"/>
    </row>
    <row r="407">
      <c r="J407" s="8" t="n"/>
    </row>
    <row r="408">
      <c r="J408" s="8" t="n"/>
    </row>
    <row r="409">
      <c r="J409" s="8" t="n"/>
    </row>
    <row r="410">
      <c r="J410" s="8" t="n"/>
    </row>
    <row r="411">
      <c r="J411" s="8" t="n"/>
    </row>
    <row r="412">
      <c r="J412" s="8" t="n"/>
    </row>
    <row r="413">
      <c r="J413" s="8" t="n"/>
    </row>
    <row r="414">
      <c r="J414" s="8" t="n"/>
    </row>
    <row r="415">
      <c r="J415" s="8" t="n"/>
    </row>
    <row r="416">
      <c r="J416" s="8" t="n"/>
    </row>
    <row r="417">
      <c r="J417" s="8" t="n"/>
    </row>
    <row r="418">
      <c r="J418" s="8" t="n"/>
    </row>
    <row r="419">
      <c r="J419" s="8" t="n"/>
    </row>
    <row r="420">
      <c r="J420" s="8" t="n"/>
    </row>
    <row r="421">
      <c r="J421" s="8" t="n"/>
    </row>
    <row r="422">
      <c r="J422" s="8" t="n"/>
    </row>
    <row r="423">
      <c r="J423" s="8" t="n"/>
    </row>
    <row r="424">
      <c r="J424" s="8" t="n"/>
    </row>
    <row r="425">
      <c r="J425" s="8" t="n"/>
    </row>
    <row r="426">
      <c r="J426" s="8" t="n"/>
    </row>
    <row r="427">
      <c r="J427" s="8" t="n"/>
    </row>
    <row r="428">
      <c r="J428" s="8" t="n"/>
    </row>
    <row r="429">
      <c r="J429" s="8" t="n"/>
    </row>
    <row r="430">
      <c r="J430" s="8" t="n"/>
    </row>
    <row r="431">
      <c r="J431" s="8" t="n"/>
    </row>
    <row r="432">
      <c r="J432" s="8" t="n"/>
    </row>
    <row r="433">
      <c r="J433" s="8" t="n"/>
    </row>
    <row r="434">
      <c r="J434" s="8" t="n"/>
    </row>
    <row r="435">
      <c r="J435" s="8" t="n"/>
    </row>
    <row r="436">
      <c r="J436" s="8" t="n"/>
    </row>
    <row r="437">
      <c r="J437" s="8" t="n"/>
    </row>
    <row r="438">
      <c r="J438" s="8" t="n"/>
    </row>
    <row r="439">
      <c r="J439" s="8" t="n"/>
    </row>
    <row r="440">
      <c r="J440" s="8" t="n"/>
    </row>
    <row r="441">
      <c r="J441" s="8" t="n"/>
    </row>
    <row r="442">
      <c r="J442" s="8" t="n"/>
    </row>
    <row r="443">
      <c r="J443" s="8" t="n"/>
    </row>
    <row r="444">
      <c r="J444" s="8" t="n"/>
    </row>
    <row r="445">
      <c r="J445" s="8" t="n"/>
    </row>
    <row r="446">
      <c r="J446" s="8" t="n"/>
    </row>
    <row r="447">
      <c r="J447" s="8" t="n"/>
    </row>
    <row r="448">
      <c r="J448" s="8" t="n"/>
    </row>
    <row r="449">
      <c r="J449" s="8" t="n"/>
    </row>
    <row r="450">
      <c r="J450" s="8" t="n"/>
    </row>
    <row r="451">
      <c r="J451" s="8" t="n"/>
    </row>
    <row r="452">
      <c r="J452" s="8" t="n"/>
    </row>
    <row r="453">
      <c r="J453" s="8" t="n"/>
    </row>
    <row r="454">
      <c r="J454" s="8" t="n"/>
    </row>
    <row r="455">
      <c r="J455" s="8" t="n"/>
    </row>
    <row r="456">
      <c r="J456" s="8" t="n"/>
    </row>
    <row r="457">
      <c r="J457" s="8" t="n"/>
    </row>
    <row r="458">
      <c r="J458" s="8" t="n"/>
    </row>
    <row r="459">
      <c r="J459" s="8" t="n"/>
    </row>
    <row r="460">
      <c r="J460" s="8" t="n"/>
    </row>
    <row r="461">
      <c r="J461" s="8" t="n"/>
    </row>
    <row r="462">
      <c r="J462" s="8" t="n"/>
    </row>
    <row r="463">
      <c r="J463" s="8" t="n"/>
    </row>
    <row r="464">
      <c r="J464" s="8" t="n"/>
    </row>
    <row r="465">
      <c r="J465" s="8" t="n"/>
    </row>
    <row r="466">
      <c r="J466" s="8" t="n"/>
    </row>
    <row r="467">
      <c r="J467" s="8" t="n"/>
    </row>
    <row r="468">
      <c r="J468" s="8" t="n"/>
    </row>
    <row r="469">
      <c r="J469" s="8" t="n"/>
    </row>
    <row r="470">
      <c r="J470" s="8" t="n"/>
    </row>
    <row r="471">
      <c r="J471" s="8" t="n"/>
    </row>
    <row r="472">
      <c r="J472" s="8" t="n"/>
    </row>
    <row r="473">
      <c r="J473" s="8" t="n"/>
    </row>
    <row r="474">
      <c r="J474" s="8" t="n"/>
    </row>
    <row r="475">
      <c r="J475" s="8" t="n"/>
    </row>
    <row r="476">
      <c r="J476" s="8" t="n"/>
    </row>
    <row r="477">
      <c r="J477" s="8" t="n"/>
    </row>
    <row r="478">
      <c r="J478" s="8" t="n"/>
    </row>
    <row r="479">
      <c r="J479" s="8" t="n"/>
    </row>
    <row r="480">
      <c r="J480" s="8" t="n"/>
    </row>
    <row r="481">
      <c r="J481" s="8" t="n"/>
    </row>
    <row r="482">
      <c r="J482" s="8" t="n"/>
    </row>
    <row r="483">
      <c r="J483" s="8" t="n"/>
    </row>
    <row r="484">
      <c r="J484" s="8" t="n"/>
    </row>
    <row r="485">
      <c r="J485" s="8" t="n"/>
    </row>
    <row r="486">
      <c r="J486" s="8" t="n"/>
    </row>
    <row r="487">
      <c r="J487" s="8" t="n"/>
    </row>
    <row r="488">
      <c r="J488" s="8" t="n"/>
    </row>
    <row r="489">
      <c r="J489" s="8" t="n"/>
    </row>
    <row r="490">
      <c r="J490" s="8" t="n"/>
    </row>
    <row r="491">
      <c r="J491" s="8" t="n"/>
    </row>
    <row r="492">
      <c r="J492" s="8" t="n"/>
    </row>
    <row r="493">
      <c r="J493" s="8" t="n"/>
    </row>
    <row r="494">
      <c r="J494" s="8" t="n"/>
    </row>
    <row r="495">
      <c r="J495" s="8" t="n"/>
    </row>
    <row r="496">
      <c r="J496" s="8" t="n"/>
    </row>
    <row r="497">
      <c r="J497" s="8" t="n"/>
    </row>
    <row r="498">
      <c r="J498" s="8" t="n"/>
    </row>
    <row r="499">
      <c r="J499" s="8" t="n"/>
    </row>
    <row r="500">
      <c r="J500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1" customWidth="1" min="5" max="5"/>
    <col width="10" customWidth="1" min="6" max="6"/>
    <col width="21" customWidth="1" min="7" max="7"/>
    <col width="10" customWidth="1" min="8" max="8"/>
    <col width="10" customWidth="1" min="9" max="9"/>
  </cols>
  <sheetData>
    <row r="1" ht="22" customHeight="1">
      <c r="A1" s="4" t="inlineStr">
        <is>
          <t>GapID</t>
        </is>
      </c>
      <c r="B1" s="4" t="inlineStr">
        <is>
          <t>MeetingID</t>
        </is>
      </c>
      <c r="C1" s="4" t="inlineStr">
        <is>
          <t>ClientID</t>
        </is>
      </c>
      <c r="D1" s="4" t="inlineStr">
        <is>
          <t>MissingField</t>
        </is>
      </c>
      <c r="E1" s="4" t="inlineStr">
        <is>
          <t>WhyNeeded</t>
        </is>
      </c>
      <c r="F1" s="4" t="inlineStr">
        <is>
          <t>Priority</t>
        </is>
      </c>
      <c r="G1" s="4" t="inlineStr">
        <is>
          <t>QuestionToAskClient</t>
        </is>
      </c>
      <c r="H1" s="4" t="inlineStr">
        <is>
          <t>Status</t>
        </is>
      </c>
      <c r="I1" s="4" t="inlineStr">
        <is>
          <t>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24" customWidth="1" min="4" max="4"/>
    <col width="45" customWidth="1" min="5" max="5"/>
  </cols>
  <sheetData>
    <row r="1" ht="22" customHeight="1">
      <c r="A1" s="4" t="inlineStr">
        <is>
          <t>ClientID</t>
        </is>
      </c>
      <c r="B1" s="4" t="inlineStr">
        <is>
          <t>TotalAssets</t>
        </is>
      </c>
      <c r="C1" s="4" t="inlineStr">
        <is>
          <t>TotalLiabilities</t>
        </is>
      </c>
      <c r="D1" s="4" t="inlineStr">
        <is>
          <t>NetWorth</t>
        </is>
      </c>
      <c r="E1" s="4" t="inlineStr">
        <is>
          <t>LiquidAssets</t>
        </is>
      </c>
    </row>
    <row r="2">
      <c r="B2">
        <f>IF($A2="","",SUMIF(Assets!$B$2:$B$500,$A2,Assets!$J$2:$J$500))</f>
        <v/>
      </c>
      <c r="C2">
        <f>IF($A2="","",SUMIF(Liabilities!$B$2:$B$500,$A2,Liabilities!$F$2:$F$500))</f>
        <v/>
      </c>
      <c r="D2">
        <f>IF($A2="","",$B2-$C2)</f>
        <v/>
      </c>
      <c r="E2">
        <f>IF($A2="","",SUMIFS(Assets!$J$2:$J$500,Assets!$B$2:$B$500,$A2,Assets!$C$2:$C$500,"Cash")+SUMIFS(Assets!$J$2:$J$500,Assets!$B$2:$B$500,$A2,Assets!$C$2:$C$500,"Investment account"))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HouseholdID</t>
        </is>
      </c>
      <c r="B1" t="inlineStr">
        <is>
          <t>ClientID</t>
        </is>
      </c>
      <c r="C1" t="inlineStr">
        <is>
          <t>CurrentAge</t>
        </is>
      </c>
      <c r="D1" t="inlineStr">
        <is>
          <t>TargetRetirementAge</t>
        </is>
      </c>
      <c r="E1" t="inlineStr">
        <is>
          <t>LifeExpectancy</t>
        </is>
      </c>
      <c r="F1" t="inlineStr">
        <is>
          <t>CurrentInvestableAssets</t>
        </is>
      </c>
      <c r="G1" t="inlineStr">
        <is>
          <t>AnnualContribution</t>
        </is>
      </c>
      <c r="H1" t="inlineStr">
        <is>
          <t>RealReturnAssumption</t>
        </is>
      </c>
      <c r="I1" t="inlineStr">
        <is>
          <t>RetirementIncomeTarget</t>
        </is>
      </c>
      <c r="J1" t="inlineStr">
        <is>
          <t>InflationAssumption</t>
        </is>
      </c>
      <c r="K1" t="inlineStr">
        <is>
          <t>ProjectedPotAtRetirement</t>
        </is>
      </c>
      <c r="L1" t="inlineStr">
        <is>
          <t>SustainableIncome_4pct</t>
        </is>
      </c>
      <c r="M1" t="inlineStr">
        <is>
          <t>FundingGapOrSurplus</t>
        </is>
      </c>
      <c r="N1" t="inlineStr">
        <is>
          <t>PrimaryRetirementCountry</t>
        </is>
      </c>
      <c r="O1" t="inlineStr">
        <is>
          <t>Confidence</t>
        </is>
      </c>
    </row>
    <row r="2">
      <c r="K2">
        <f>IF(AND(C2&lt;&gt;"",D2&lt;&gt;"",F2&lt;&gt;"",H2&lt;&gt;""),F2*(1+H2)^(D2-C2),"")</f>
        <v/>
      </c>
      <c r="L2">
        <f>IF(K2&lt;&gt;"",K2*0.04,"")</f>
        <v/>
      </c>
      <c r="M2">
        <f>IF(AND(L2&lt;&gt;"",I2&lt;&gt;""),L2-I2,"")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HouseholdID</t>
        </is>
      </c>
      <c r="C1" t="inlineStr">
        <is>
          <t>Country</t>
        </is>
      </c>
      <c r="D1" t="inlineStr">
        <is>
          <t>StartAge</t>
        </is>
      </c>
      <c r="E1" t="inlineStr">
        <is>
          <t>EndAge</t>
        </is>
      </c>
      <c r="F1" t="inlineStr">
        <is>
          <t>Probability</t>
        </is>
      </c>
      <c r="G1" t="inlineStr">
        <is>
          <t>TaxRegimeNotes</t>
        </is>
      </c>
      <c r="H1" t="inlineStr">
        <is>
          <t>HealthcareAssumption</t>
        </is>
      </c>
      <c r="I1" t="inlineStr">
        <is>
          <t>CostOfLivingIndex</t>
        </is>
      </c>
      <c r="J1" t="inlineStr">
        <is>
          <t>NetIncomeMultiplier</t>
        </is>
      </c>
      <c r="K1" t="inlineStr">
        <is>
          <t>Notes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HouseholdID</t>
        </is>
      </c>
      <c r="C1" t="inlineStr">
        <is>
          <t>ProjectedPotAtRetirement</t>
        </is>
      </c>
      <c r="D1" t="inlineStr">
        <is>
          <t>AfterTaxIncomeEstimate</t>
        </is>
      </c>
      <c r="E1" t="inlineStr">
        <is>
          <t>RealIncomeAdj</t>
        </is>
      </c>
      <c r="F1" t="inlineStr">
        <is>
          <t>ResultComment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2026-01-29T14:24:25Z</dcterms:created>
  <dcterms:modified xmlns:dcterms="http://purl.org/dc/terms/" xmlns:xsi="http://www.w3.org/2001/XMLSchema-instance" xsi:type="dcterms:W3CDTF">2026-01-29T14:27:25Z</dcterms:modified>
</cp:coreProperties>
</file>